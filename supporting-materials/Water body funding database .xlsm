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302" codeName="{E5D1E7B1-6628-F0F0-D09B-76B25B5F3CD3}"/>
  <workbookPr codeName="ThisWorkbook" defaultThemeVersion="124226"/>
  <mc:AlternateContent xmlns:mc="http://schemas.openxmlformats.org/markup-compatibility/2006">
    <mc:Choice Requires="x15">
      <x15ac:absPath xmlns:x15ac="http://schemas.microsoft.com/office/spreadsheetml/2010/11/ac" url="/Users/845675/Desktop/"/>
    </mc:Choice>
  </mc:AlternateContent>
  <xr:revisionPtr revIDLastSave="0" documentId="8_{4743638D-280F-5942-8755-4F9F925EDA63}" xr6:coauthVersionLast="47" xr6:coauthVersionMax="47" xr10:uidLastSave="{00000000-0000-0000-0000-000000000000}"/>
  <bookViews>
    <workbookView xWindow="-40460" yWindow="2900" windowWidth="29040" windowHeight="15720" xr2:uid="{00000000-000D-0000-FFFF-FFFF00000000}"/>
  </bookViews>
  <sheets>
    <sheet name="Stakeholder filter" sheetId="2" r:id="rId1"/>
    <sheet name="Funding Database" sheetId="1" r:id="rId2"/>
    <sheet name="Other resources " sheetId="3" r:id="rId3"/>
    <sheet name="Disclaimer" sheetId="4" r:id="rId4"/>
  </sheets>
  <definedNames>
    <definedName name="_xlnm._FilterDatabase" localSheetId="1" hidden="1">'Funding Database'!$B$2:$Q$117</definedName>
    <definedName name="_xleta.AND" hidden="1" xlm="1">#NAME?</definedName>
    <definedName name="_xleta.OR"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 i="1" l="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58" i="1"/>
  <c r="F5" i="1"/>
  <c r="F14" i="1"/>
  <c r="F28" i="1"/>
  <c r="F29" i="1"/>
  <c r="F32" i="1"/>
  <c r="F40" i="1"/>
  <c r="F56" i="1"/>
  <c r="F57" i="1"/>
  <c r="F33" i="1"/>
  <c r="F34" i="1"/>
  <c r="F35" i="1"/>
  <c r="F36" i="1"/>
  <c r="F37" i="1"/>
  <c r="F38" i="1"/>
  <c r="F39" i="1"/>
  <c r="F41" i="1"/>
  <c r="F42" i="1"/>
  <c r="F43" i="1"/>
  <c r="F44" i="1"/>
  <c r="F45" i="1"/>
  <c r="F46" i="1"/>
  <c r="F47" i="1"/>
  <c r="F48" i="1"/>
  <c r="F49" i="1"/>
  <c r="F50" i="1"/>
  <c r="F51" i="1"/>
  <c r="F52" i="1"/>
  <c r="F53" i="1"/>
  <c r="F54" i="1"/>
  <c r="F55" i="1"/>
  <c r="F4" i="1"/>
  <c r="F6" i="1"/>
  <c r="F7" i="1"/>
  <c r="F8" i="1"/>
  <c r="F9" i="1"/>
  <c r="F10" i="1"/>
  <c r="F11" i="1"/>
  <c r="F12" i="1"/>
  <c r="F13" i="1"/>
  <c r="F15" i="1"/>
  <c r="F16" i="1"/>
  <c r="F17" i="1"/>
  <c r="F18" i="1"/>
  <c r="F19" i="1"/>
  <c r="F20" i="1"/>
  <c r="F21" i="1"/>
  <c r="F22" i="1"/>
  <c r="F23" i="1"/>
  <c r="F24" i="1"/>
  <c r="F25" i="1"/>
  <c r="F26" i="1"/>
  <c r="F27" i="1"/>
  <c r="F30" i="1"/>
  <c r="F3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tc={8900E4ED-8BC1-4DFF-91AB-534EDC7BE017}</author>
  </authors>
  <commentList>
    <comment ref="C7" authorId="0" shapeId="0" xr:uid="{8900E4ED-8BC1-4DFF-91AB-534EDC7BE017}">
      <text>
        <t>[Threaded comment]
Your version of Excel allows you to read this threaded comment; however, any edits to it will get removed if the file is opened in a newer version of Excel. Learn more: https://go.microsoft.com/fwlink/?linkid=870924
Comment:
    A suggestion here could be to add “fishing” if we’re adding in the fishing funding sources</t>
      </text>
    </comment>
  </commentList>
</comments>
</file>

<file path=xl/sharedStrings.xml><?xml version="1.0" encoding="utf-8"?>
<sst xmlns="http://schemas.openxmlformats.org/spreadsheetml/2006/main" count="1674" uniqueCount="1131">
  <si>
    <t>Stakeholder selector</t>
  </si>
  <si>
    <t>&lt;-- select here</t>
  </si>
  <si>
    <t>Water companies</t>
  </si>
  <si>
    <t>Charities</t>
  </si>
  <si>
    <t>Academia</t>
  </si>
  <si>
    <t>Industry (e.g. agriculture)</t>
  </si>
  <si>
    <t>Local Authorities</t>
  </si>
  <si>
    <t>Landowners</t>
  </si>
  <si>
    <t>Community Groups</t>
  </si>
  <si>
    <t>Not-for-profit</t>
  </si>
  <si>
    <t>NGOs</t>
  </si>
  <si>
    <t>To enable action that helps improve water body health, the River Deep Mountain AI project has compiled a database of funding sources. Stakeholders are encouraged to use the model outputs from the project to better understand the health of water bodies and where targeted action would be most effective at addressing these challenges. Once a water body health challenge is identified, the funding sources database can be used by stakeholders to identify suitable funding options to address the challenge. 
Please see the accompanying guide to the River Deep Mountain AI funding sources database for further information on the methodology and how to use this tool.</t>
  </si>
  <si>
    <t>Type</t>
  </si>
  <si>
    <t>Funding Source</t>
  </si>
  <si>
    <t>Description</t>
  </si>
  <si>
    <t>Stakeholders</t>
  </si>
  <si>
    <t>Stake Holder Helper</t>
  </si>
  <si>
    <t>Region/Area</t>
  </si>
  <si>
    <t>Maximum Amount</t>
  </si>
  <si>
    <t>Eligibility</t>
  </si>
  <si>
    <t>Conditions</t>
  </si>
  <si>
    <t>Contact Information</t>
  </si>
  <si>
    <t>Application Process</t>
  </si>
  <si>
    <t>Deadlines</t>
  </si>
  <si>
    <t>Information Required</t>
  </si>
  <si>
    <t>Case Studies/Success Stories</t>
  </si>
  <si>
    <t>Government and Local Government</t>
  </si>
  <si>
    <t>Grants to improve water quality (typically capital grants)</t>
  </si>
  <si>
    <t>Water companies
Charities
Academia
Industry (e.g. agriculture)
Local Authorities
Landowners
Community Groups
Not-for-profit
NGOs</t>
  </si>
  <si>
    <t>England - depends on fund</t>
  </si>
  <si>
    <t>Landowner or land manager</t>
  </si>
  <si>
    <t>Online</t>
  </si>
  <si>
    <t>Year round</t>
  </si>
  <si>
    <t>Grant to improve freshwater habitats</t>
  </si>
  <si>
    <t>UK</t>
  </si>
  <si>
    <r>
      <t xml:space="preserve">There are 2 types of grants: 
</t>
    </r>
    <r>
      <rPr>
        <b/>
        <sz val="11"/>
        <color theme="1"/>
        <rFont val="Calibri"/>
        <family val="2"/>
        <scheme val="minor"/>
      </rPr>
      <t>Development grants</t>
    </r>
    <r>
      <rPr>
        <sz val="11"/>
        <color theme="1"/>
        <rFont val="Calibri"/>
        <family val="2"/>
        <scheme val="minor"/>
      </rPr>
      <t xml:space="preserve"> ranging from £75,000 to £250,000. These are designed to build capability. 
</t>
    </r>
    <r>
      <rPr>
        <b/>
        <sz val="11"/>
        <color theme="1"/>
        <rFont val="Calibri"/>
        <family val="2"/>
        <scheme val="minor"/>
      </rPr>
      <t>Delivery grants</t>
    </r>
    <r>
      <rPr>
        <sz val="11"/>
        <color theme="1"/>
        <rFont val="Calibri"/>
        <family val="2"/>
        <scheme val="minor"/>
      </rPr>
      <t xml:space="preserve"> ranging from £500,000 to £2 million. These are designed to accelerate or support projects that have already been planned. </t>
    </r>
  </si>
  <si>
    <t>Local groups and farm clusters within the same catchment</t>
  </si>
  <si>
    <t>Must prove benefits on a catchment wide scale.</t>
  </si>
  <si>
    <t>https://defrafarming.blog.gov.uk/2024/04/09/water-restoration-fund-grants-now-available/</t>
  </si>
  <si>
    <t>Charities
Not-for-profit
NGOs
Academia
Local Authorities</t>
  </si>
  <si>
    <t>Water Company</t>
  </si>
  <si>
    <t>Catchment Fund to help farmers in Thames Water's target areas to make changes to protect water quality affected by farming activities</t>
  </si>
  <si>
    <t>UK - Thames Water's 
Operational Regions</t>
  </si>
  <si>
    <t>Up to £15,000</t>
  </si>
  <si>
    <t>Farmers farming more than 5ha of land for livestock farms or 10ha for arable farms within a Thames Water target area</t>
  </si>
  <si>
    <t>https://promar-international.com/thames-valley-catchment-fund/</t>
  </si>
  <si>
    <t>Thames Water: Bespoke Water Quality Improvement</t>
  </si>
  <si>
    <t>This fund targets activities which address the most significant risks to water quality in the farmers local catchment in the long term</t>
  </si>
  <si>
    <t>Up to £40,000 per farm business for “activities which address the 
most significant risks to water quality in your local catchment in the long term”.</t>
  </si>
  <si>
    <t>To qualify, the farmers must demonstrate that their activity will give benefits over at least five years.</t>
  </si>
  <si>
    <t>Anglian Water: Farming Innovation Grant</t>
  </si>
  <si>
    <t>Supports innovation towards finding local solutions to local water quality challenges in key priority catchments across the Anglian Water region</t>
  </si>
  <si>
    <t>UK - Anglian Water's
 Operational Regions</t>
  </si>
  <si>
    <t>Maximum grant rate of 
£7,500/holding</t>
  </si>
  <si>
    <t>https://www.ricardo.com/en/news-and-insights/campaigns/anglian-water-farming-innovation-grant</t>
  </si>
  <si>
    <r>
      <t xml:space="preserve">Measures that have been successfully
 supported include:
-On farm trials to reduce pesticide reliance​​
-Second-hand straw rake to help reduce pesticide use (see video below)
-Direct drill
-Water bowser with integrated drinking trough
-Low disturbance subsoiler
-Fertiliser spreader with section control
-Development of robotic weeding technology
-Strip till cultivator
-Precision fertiliser trial in field vegetables
</t>
    </r>
    <r>
      <rPr>
        <i/>
        <sz val="11"/>
        <color theme="1"/>
        <rFont val="Calibri"/>
        <family val="2"/>
        <scheme val="minor"/>
      </rPr>
      <t>Case study video available at: https://www.ricardo.com/en/news-and-insights/campaigns/anglian-water-farming-innovation-grant</t>
    </r>
  </si>
  <si>
    <t>Charity/NGO</t>
  </si>
  <si>
    <t xml:space="preserve">Thames21 can support: 
1. Water Quality Monitoring Projects
2. River Restoration Projects
</t>
  </si>
  <si>
    <t>Charities
NGOs
Community Groups</t>
  </si>
  <si>
    <t xml:space="preserve">UK - Thames region </t>
  </si>
  <si>
    <t>This grant scheme is intended for projects that are instigated, led and largely delivered by volunteers
and community groups. Thames 21 will also accept applications from smaller charities (annual income of
less than £1 million).</t>
  </si>
  <si>
    <t>Email empowerrivers@thames21.org.uk to 
request an application form</t>
  </si>
  <si>
    <t>Applications are open to any project ideas that will be of environmental benefit to the tidal Thames</t>
  </si>
  <si>
    <t>Charities 
NGOs 
Community groups 
Industry (e.g. agriculture)</t>
  </si>
  <si>
    <t>Total amount of £50,000. Projects may ask for up to £15,000.</t>
  </si>
  <si>
    <t>Project must be located on the tidal Thames or directly benefit the tidal Thames or its operators. Full conditions on the website.</t>
  </si>
  <si>
    <t>In the past three years, the PLA has 
underwritten 14 projects, thanks to the Thames Environment Fund. Last year’s funding supported clean up events, repaired a pontoon and promoted the research on filtration of microplastics. Examples include: Greenwich Yacht Club’s purchase and testing of electric outboards, Medway Swale Estuary Partnership’s and Fulham Reach Boat Club’s litter picks.</t>
  </si>
  <si>
    <t>Aims to reduce flood risk to local communities, as well as improve water quality and enhance biodiversity, using natural flood management processes.
The NFM construction grant scheme has been designed to provide the necessary funding to help support landowners and farmers within the projects priority sub-catchments to alter their land and water management practices to slow the flow of water and reduce flood risk to downstream communities.</t>
  </si>
  <si>
    <t>Industry (e.g. agriculture)
Landowners</t>
  </si>
  <si>
    <t xml:space="preserve">Anyone from 7 priority sub catchments in the Herefordshire area 
</t>
  </si>
  <si>
    <t>Landowners, farmers, or consultants/tenant acting on behalf of landowner in one of the seven priority sub-catchments</t>
  </si>
  <si>
    <t>Full conditions are provided in Appendix A of the linked website.</t>
  </si>
  <si>
    <t>Nature Restoration Fund is a commitment in the current Programme for Government for multi-year funding as part of overall investment in the natural economy.</t>
  </si>
  <si>
    <t>Charities
Academia
Industry (e.g. agriculture)
Local Authorities
Landowners
Community Groups
Not-for-profit
NGOs</t>
  </si>
  <si>
    <t>Scotland</t>
  </si>
  <si>
    <t>The Nature Restoration Fund has 
two streams, Helping Nature, for grants of £25,000 to £250,000 and Transforming Nature for grants of £250,000 upwards, including development projects. Total fund size is £65million.</t>
  </si>
  <si>
    <t>1. Constituted organisations
-Registered charities and trusts
-Constituted community groups
2. Private individuals and companies - where public benefit will be demonstrated
3. Partnerships and organisations working collaboratively with others.</t>
  </si>
  <si>
    <t>The priority themes tackle these drivers:
-Habitat and species restoration: Management for enhancement and connectivity.
-Freshwater restoration, including restoration of natural flows in rural catchments
-Coastal and marine initiatives which promote restoration, recovery, enhancement or resilience
-Control of invasive non-native species (INNS) impacting on nature
-Urban: Enhancing and connecting nature across, and between, towns and cities.</t>
  </si>
  <si>
    <t>https://www.nature.scot/funding-and-projects/nature-restoration-fund/nature-restoration-fund-how-apply</t>
  </si>
  <si>
    <t xml:space="preserve">Link for case study video: https://www.nature.scot/funding-and-projects/Scottish-government-nature-restoration-fund-nrf  
Supported projects: https://www.nature.scot/funding-and-projects/nature-restoration-fund/nature-restoration-fund-nrf-supported-projects </t>
  </si>
  <si>
    <t>Catchment Partnership</t>
  </si>
  <si>
    <t xml:space="preserve">Main Grants
The Main Grants Scheme has been the key offer of the Catchment Partnership Fund (CPF) since 2015 and has contributed towards the development of many of the BACP Partnerships Projects and Programmes. It has funded vital data and evidence gathering and has enabled the partners to engage and involve community groups to deliver more for their local rivers through the more strategic projects and programmes being delivered across the catchment.
Community Grants
The Community Grants Scheme first opened in 2022, this is a separate small grants pot specifically aimed at community groups to help fund work like water quality testing sampling or equipment to help with habitat management, enabling communities to deliver more for their local rivers. </t>
  </si>
  <si>
    <t xml:space="preserve">Bristol </t>
  </si>
  <si>
    <t xml:space="preserve">The amount of funding that will be allocated within each Phase of the CPF will depend on the available funding in each year, this varies with relation to the amounts committed by the funding partners.
In previous years projects on average have been granted between £4,000 - £8,000. </t>
  </si>
  <si>
    <t>Applicants may involve non-governmental organisations (NGOs) such as; the Rivers Trusts, Wildlife Trusts and
academic institutions. Applications from a group of partners, including community-led groups, local government,
NGOs or private companies, will be considered if it was demonstrated that they are working collaboratively to
deliver the BACP Catchment Partnership Aims and Objectives</t>
  </si>
  <si>
    <t>Terms and conditions document available at the following link:
 https://www.bristolavoncatchment.co.uk/media/sueotzg5/bacp-catchment-partnership-fund-terms-and-conditions-2024.pdf
Main Grants Scheme: The funding could be used for things such as:
Habitat creation/restoration
Ancillary conservation works (e.g. fencing, support services for grazing),
Land management actions to improve water quality
Provision of land management advice
Dissemination/communication of information
To meet immediate research or monitoring needs
Community Grant Scheme: This is aimed at supporting smaller, community-led projects, providing up to £1,000. Applicants should be from a constituted community group or small charity. The funding could be used for a variety of things such as:
Equipment for litter picking or habitat management,
Improved signage and accessibility to blue spaces
Monitoring equipment to gather data on water quality or wildlife</t>
  </si>
  <si>
    <t>info@bristolavoncatchment.co.uk</t>
  </si>
  <si>
    <t>Link to Application: 
https://www.bristolavoncatchment.co.uk/media/a30f2t3x/application-form-2024-main-grants.docx</t>
  </si>
  <si>
    <t>https://www.bristolavoncatchment.co.uk/catchment-partnership-fund/how-to-apply/</t>
  </si>
  <si>
    <t>Case Studies can be found here:
 https://www.bristolavoncatchment.co.uk/catchment-partnership-fund/project-case-studies-videos/</t>
  </si>
  <si>
    <t>Wessex Water: River Stour Phosphorus Reduction Scheme</t>
  </si>
  <si>
    <t>Financial support and advice to farmers for adopting practices that reduce phosphorus (P) inputs, prevent soil erosion and buffer watercourses from P pollution.
Expressions of interest are also encouraged in creating runoff ponds, sediment traps and constructed wetlands to treat field runoff and ditch/drain flow, cross-slope hedgerow creation and riparian tree planting.</t>
  </si>
  <si>
    <t>Sub-catchments of the River Stour</t>
  </si>
  <si>
    <t>Farmers and land owners</t>
  </si>
  <si>
    <t>Applications will be scored and funding will be awarded based on a
 range of criteria, including:
-The predicted amount of P prevented from entering watercourses by the implementation of the measure (per application and unit area/metre)
-The likelihood of the applicant meeting scheme requirements (as set out on this project website and in the example project agreement below)
-The location of the measure in relation to specific water recycling centres in the scheme area.</t>
  </si>
  <si>
    <t xml:space="preserve">riverstourphos@wessexwater.co.uk </t>
  </si>
  <si>
    <t>Case Studies available at the following
 link: https://corporate.wessexwater.co.uk/our-purpose/rivers-and-coastal-waters/catchment-management</t>
  </si>
  <si>
    <t>FWAG Southwest advisers are working with Wessex Water and farmers in sub-catchments of the Rivers Tone, Parrett and Yeo to reduce P runoff from farmyards, tracks and fields by three tonnes per year by 2025.  The grant scheme offers financial support and advice to farmers for adopting certain land management practices, preventing soil erosion and for newly buffered watercourses.</t>
  </si>
  <si>
    <t>Sub-Catchments of 
the River Tone, Parrett and Yeo</t>
  </si>
  <si>
    <t xml:space="preserve">somersetphos@wessexwater.co.uk </t>
  </si>
  <si>
    <t>Case Studies available at the following link: https://corporate.wessexwater.co.uk/our-purpose/rivers-and-coastal-waters/catchment-management</t>
  </si>
  <si>
    <t>Wessex Water: Shapwick and Sturminster Marshall Nitrate Reduction Scheme</t>
  </si>
  <si>
    <t>Wessex Water are aiming to reduce nitrate loading into groundwater to prevent the need to build a nitrate treatment plant or extend the lifespan of treatment works.</t>
  </si>
  <si>
    <t>Shapwick and 
Sturminster Marshall catchment's safeguard zones - Map available on website: https://corporate.wessexwater.co.uk/our-purpose/rivers-and-coastal-waters/shapwick-and-sturminster-marshall</t>
  </si>
  <si>
    <t>In entering the scheme, the grantee will be agreeing to:
-allow a Wessex Water catchment adviser to visit your land for visual inspection before, during, and after the implementation of the scheme
-allow a Wessex Water catchment adviser to request farm records from you, demonstrating fertiliser rates, the change in cropping, stocking rates, etc (if required)
-allow Wessex Water to carry out soil sampling, porous pots, grain samples, and crop tissue samples for nutrient analysis (if required). 
-Any data collected will be shared with the farmer. We will store data on an internal database, and it may be used to contribute to a larger aggregated and anonymised data set.</t>
  </si>
  <si>
    <t xml:space="preserve">catchment.management@wessexwater.co.uk </t>
  </si>
  <si>
    <t>Case Studies available at the 
following link: https://corporate.wessexwater.co.uk/our-purpose/rivers-and-coastal-waters/shapwick-and-sturminster-marshall</t>
  </si>
  <si>
    <t>National Lottery Funding: Heritage Fund</t>
  </si>
  <si>
    <t>Charities
Industry (e.g. agriculture)
Local Authorities
Landowners
Community Groups
Not-for-profit
NGOs</t>
  </si>
  <si>
    <t xml:space="preserve">UK </t>
  </si>
  <si>
    <t>Varies based on project - £10,000 - £10,000,000</t>
  </si>
  <si>
    <t xml:space="preserve">https://www.heritagefund.org.uk/funding </t>
  </si>
  <si>
    <t>Applications via the portal: https://www.heritagefund.org.uk/funding</t>
  </si>
  <si>
    <t>Year Round Funding calls</t>
  </si>
  <si>
    <t>Previous Case Studies: 
https://www.heritagefund.org.uk/node/93270</t>
  </si>
  <si>
    <t>Funding available for pesticide washdown areas and free rainwater harvesting, soil testing for cover crop applicants in groundwater catchments and up to 100% funding for fencing in crypto catchments. Constructed wetlands are also supported as part of the funding process.</t>
  </si>
  <si>
    <t xml:space="preserve">Industry (e.g. agriculture)
Landowners
</t>
  </si>
  <si>
    <t>Severn Trent Region</t>
  </si>
  <si>
    <t xml:space="preserve">To be eligible for support from STEPS, one must:
-Farm or have land in a priority catchment in the Severn Trent region
-actively farm the land </t>
  </si>
  <si>
    <t>Available at:
 https://www.stwater.co.uk/content/dam/stw/about_us/steps/STEPS-Handbook-Spring-2024.pdf</t>
  </si>
  <si>
    <t>The purpose of the fund is to enable local communities, land managers, other organisations and individuals to make a difference to the natural environment within Northumbrian Water’s operating area – through projects that protect drinking water sources, enhance water quality or provide other benefits to wetland habitats</t>
  </si>
  <si>
    <t>Charities
Industry (e.g. agriculture)
Landowners
Community Groups
Not-for-profit
NGOs</t>
  </si>
  <si>
    <t>Northumbrian Water's 
operating areas</t>
  </si>
  <si>
    <t>Organisations, community
groups or individuals from the public, private, voluntary and education sectors</t>
  </si>
  <si>
    <t xml:space="preserve">1. All external communications relating to the project to be agreed with Northumbrian Water’s communications team before use.
2. Northumbrian Water’s contribution must be acknowledged in all press releases.
3. Northumbrian Water’s logo must be used on project material and interpretation.
4. A report on the progress of the project must be submitted to Northumbrian
Water every six months and /or on project completion (whichever occurs first).
5. Project reports must provide evidence of where the project money provided by Northumbrian Water has been spent.
6. Project reports must provide information on specific measurable project outputs as agreed with Northumbrian
Water before the project starts.
7. All successful project applicants will sign a partnership agreement agreeing to the above terms. Where a medium or large fund is granted, additional requirements will be agreed specific to each project.
8. Returning completed application forms. </t>
  </si>
  <si>
    <t xml:space="preserve">branchout@nwl.co.uk </t>
  </si>
  <si>
    <t>Sign, scan and email to: branchout@nwl.co.uk
Or sign and post to:
Conservation
Northumbrian Water
Boldon House Wheatlands Way
Pity Me
Durham DH1 5FA</t>
  </si>
  <si>
    <t>Dŵr Cymru’s Water Framework Directive (WFD) funding scheme provides financial contributions to not-for-profit organisations for projects that will deliver improvements to Welsh rivers, lakes and waterways.</t>
  </si>
  <si>
    <t xml:space="preserve">Charities
Community Groups
Not-for-profit
</t>
  </si>
  <si>
    <t>Rivers, lakes and waterways in the Welsh Water area</t>
  </si>
  <si>
    <t>Application form available by email via 
wfd@dwrcymru.com</t>
  </si>
  <si>
    <t>None</t>
  </si>
  <si>
    <t>Case Studies and Schemes available at:
 https://corporate.dwrcymru.com/en/community/environment/our-projects/water-framework-directive-schemes</t>
  </si>
  <si>
    <t>Water for Life: Southern Water: SuDS Community Fund</t>
  </si>
  <si>
    <t xml:space="preserve">Aims to reduce flooding and storm overflows with innovative sustainable drainage systems (SuDS) funded by Southern Water.
</t>
  </si>
  <si>
    <t>Isle of Wight</t>
  </si>
  <si>
    <t>Business or community groups</t>
  </si>
  <si>
    <t>partnerships.overflows@southernwater.co.uk</t>
  </si>
  <si>
    <t>Apply online at: 
https://www.southernwater.co.uk/retailers/working-with-us/suds-community-fund/#sudsform</t>
  </si>
  <si>
    <t>Water for Life: Southern Water: Business Partnership Fund</t>
  </si>
  <si>
    <t>An idea for a project – whether it’s harvesting rain or 
shower water, fitting flow restrictors on taps, harnessing new technology to save water, education or behavioural change programmes, or anything else, Southern Water can assist with Funding.</t>
  </si>
  <si>
    <t>Hampshire, the Isle of Wight, Sussex and Kent</t>
  </si>
  <si>
    <t>Business, water Retailers, 
Water Conservation Service Providers or community groups</t>
  </si>
  <si>
    <t>Eligibility Criteria mentioned here: 
https://www.southernwater.co.uk/save-a-little-water/business-partnership-fund/#
Application will not be passed to the steering group for review if you are unable to project a water saving in litres from this project.</t>
  </si>
  <si>
    <t>Available here: https://www.southernwater.co.uk/media/vtsburmn/guidance_document_200324-1.pdf</t>
  </si>
  <si>
    <t>Applications available in October 2024</t>
  </si>
  <si>
    <t>Case Studies available at: 
https://www.southernwater.co.uk/latest-news/water-saving-ideas-set-to-save-73-million-litres-per-year/</t>
  </si>
  <si>
    <t>Offers grants to support projects that lead to the removal of small dams, weirs and other river barriers across Europe for restoration of river flow and biodiversity.</t>
  </si>
  <si>
    <t>Across Europe (including the UK) and the Middle East</t>
  </si>
  <si>
    <t>NGOs, government, academia, the private sector, community groups and individuals</t>
  </si>
  <si>
    <t>Can be found on the website - https://openrivers.eu/grants/apply-for-a-grant/</t>
  </si>
  <si>
    <t>Offers a grant which can go towards the creation or improvement of wildlife habitats (terrestrial or aquatic); the improvement of existing habitat.</t>
  </si>
  <si>
    <t>South Cambridgeshire</t>
  </si>
  <si>
    <t>The Naturesave Trust</t>
  </si>
  <si>
    <t>Provides grants to small projects for charities, social enterprises and grassroots community organisations whose activities are based within the UK.</t>
  </si>
  <si>
    <t xml:space="preserve">Case studies are found here, although none of them are water related it is a sustainability trust so I think it could go towards river restoration etc https://naturesave.co.uk/naturesave-trust/ </t>
  </si>
  <si>
    <t>Esmee Fairbairn Foundation</t>
  </si>
  <si>
    <t>https://esmeefairbairn.org.uk/guidance-for-support/are-we-the-right-funder-for-you/</t>
  </si>
  <si>
    <t>Can apply at any time. Application process is set out here: https://esmeefairbairn.org.uk/guidance-for-support/how-to-apply/</t>
  </si>
  <si>
    <t>https://esmeefairbairn.org.uk/our-aims/our-natural-world/freshwater-grants/</t>
  </si>
  <si>
    <t>The Nature Networks Fund aims is to improve the condition and resilience of Wales’ network of protected land and marine sites. It is a key element of the delivery of the Welsh Government’s wider Nature Networks Programme.</t>
  </si>
  <si>
    <t>Wales</t>
  </si>
  <si>
    <t>£50,000-£250,000</t>
  </si>
  <si>
    <t>Individual or organisation working within natural heritage in Wales</t>
  </si>
  <si>
    <t>See overview - https://www.heritagefund.org.uk/funding/nature-networks-fund-4</t>
  </si>
  <si>
    <t>Found on website: https://www.heritagefund.org.uk/funding/nature-networks-fund-4</t>
  </si>
  <si>
    <t>Can apply any time online - https://www.heritagefund.org.uk/funding/nature-networks-fund-4</t>
  </si>
  <si>
    <t>No case studies as projects haven't started yet</t>
  </si>
  <si>
    <t>The objectives of the Water Environment Investment Fund are: • To contribute to achieving statutory water body objectives, focusing on River Basin Management Plan (RBMP) measures without an owner • To increase stakeholder engagement to ensure local needs and priorities for water natural capital are met • To increase natural carbon storage and enable the water environment and water dependent wildlife to adapt and become more resilient to climate change impacts • To protect and restore habitat conditions for at-risk priority water dependant species • Maximise cost beneficial investment and secure wider economic, social and commercial benefits through improvements to natural capital</t>
  </si>
  <si>
    <t>Total £11.5 million distributed across 180 projects</t>
  </si>
  <si>
    <t>See External Funding guide - https://gumstool.org.uk/wp-content/uploads/2021/07/external-weif-funding-guide-2021-v1.pdf</t>
  </si>
  <si>
    <t>Found on website: https://gumstool.org.uk/wp-content/uploads/2021/07/external-weif-funding-guide-2021-v1.pdf</t>
  </si>
  <si>
    <t>Application deadline passed</t>
  </si>
  <si>
    <t>List of all projects being funded - https://www.gov.uk/government/publications/water-environment-improvement-fund-projects/1bb4221a-ef4b-4d72-8b8e-799d987c37f6</t>
  </si>
  <si>
    <t xml:space="preserve">We want to increase the number of sustainable fisheries worldwide by funding innovative research and supporting fisheries at all stages on their path to sustainability. </t>
  </si>
  <si>
    <t>Charities
Academia
Industry (e.g. agriculture)
Community Groups
Not-for-profit
NGOs</t>
  </si>
  <si>
    <t>Worldwide</t>
  </si>
  <si>
    <t>The Ocean Stewardship Fund offers grants to fisheries that are MSC certified or in improvement projects.</t>
  </si>
  <si>
    <t>Different conditions depending on the grant, see website for further information - https://www.msc.org/for-business/fisheries/funding</t>
  </si>
  <si>
    <t>Found on website: https://www.msc.org/for-business/fisheries/funding</t>
  </si>
  <si>
    <t>https://www.msc.org/for-business/fisheries/funding</t>
  </si>
  <si>
    <t>Examples of projects: https://www.msc.org/what-we-are-doing/our-collective-impact/ocean-stewardship-fund/impact-projects</t>
  </si>
  <si>
    <t>Arcadia Grant Programmes</t>
  </si>
  <si>
    <t>Organizations and individuals can apply for funding through their grant programmes. There are 5 programmes, linked in the contact information box.</t>
  </si>
  <si>
    <t>Different conditions depending on the grant, see website for further information - https://arcadiafund.org.uk/grants-programmes</t>
  </si>
  <si>
    <t>See website for different grant programmes - https://arcadiafund.org.uk/grants-programmes</t>
  </si>
  <si>
    <t>See grant providers websites - 
https://arcadiafund.org.uk/grants-programmes</t>
  </si>
  <si>
    <t>The fund enables river restoration. The current priorities are: Improvements to the passage of migratory fish by the removal or easement of redundant structures such as weirs, and; Repairing damaged urban rivers where additional multiple benefits such as improved access to blue-green space, reducing localised flood risk and achieving biodiversity benefits.</t>
  </si>
  <si>
    <t>Funding will only be awarded to infrastructure improvements on agricultural land when required as part of a river restoration or removal of a fish barrier project.</t>
  </si>
  <si>
    <t>Scottish Environment Protection Agency (SEPA) WEF Administration by phone at 01349 860370 or by email at restoration.proposals@sepa.org.uk</t>
  </si>
  <si>
    <t>Currently closed to direct applications.</t>
  </si>
  <si>
    <t>Not detailed as the scheme is currently closed to direct applications.</t>
  </si>
  <si>
    <t>See website: https://www.sepa.org.uk/environment/water/water-environment-fund/</t>
  </si>
  <si>
    <t>https://www.sepa.org.uk/media/413209/wef_case_studies.pdf</t>
  </si>
  <si>
    <t xml:space="preserve">International Partnership Fund </t>
  </si>
  <si>
    <t>The Joint Transnational Call is launched in the framework of the European Partnership  Water4All  and supports research and innovation projects to improve water security in the long term. In line with the strategic objectives of Water4All, the results should contribute to the implementation of evidence-based, global, EU and national water management policies and strategies, including the Green Deal, the Water Framework Directive (WFD), Just Transition and the Water Action Agenda for UN Sustainable Development Goals.</t>
  </si>
  <si>
    <t>Academia
Industry (e.g. agriculture)
NGOs
Not-for-profit</t>
  </si>
  <si>
    <t>Europe</t>
  </si>
  <si>
    <t>Overall scheme budget is 36 M€</t>
  </si>
  <si>
    <t>Claire Treignier and Sylvain Pasquier
Water4All Call Secretariat
ANR - National Research Agency
water4All-CallsFR[@]agencerecherche.fr</t>
  </si>
  <si>
    <t>Examples of projects being funded are available at:  
https://www.water4all-partnership.eu/joint-activities/water4all-2023-joint-transnational-call</t>
  </si>
  <si>
    <t>South East Water: Capital Grant Scheme</t>
  </si>
  <si>
    <t>Regions covered by 
South East Water. Map of regions available at: https://www.southeastwater.co.uk/about/our-environment/capital-grants-scheme/</t>
  </si>
  <si>
    <t xml:space="preserve">Farmers, businesses and 
Land Owners </t>
  </si>
  <si>
    <t>Conditions available at: 
https://www.southeastwater.co.uk/about/our-environment/capital-grants-scheme/</t>
  </si>
  <si>
    <t>Case studies not available online.</t>
  </si>
  <si>
    <t xml:space="preserve">Norfolk Rivers Trust
</t>
  </si>
  <si>
    <t xml:space="preserve">Grants and funding opportunities for improving water 
quality and quantity - Multiple Schemes, Funds, countryside stewardships and Trusts operate under the Norfolk rivers Trust.
</t>
  </si>
  <si>
    <t xml:space="preserve">Details vary for different funds </t>
  </si>
  <si>
    <t xml:space="preserve">Contact info@norfolkriverstrust.org for details relating to
 funding </t>
  </si>
  <si>
    <t xml:space="preserve">Details vary for 
different funds </t>
  </si>
  <si>
    <t>Case studies available on website:
 https://norfolkriverstrust.org/our-work/conservation-and-restoration/</t>
  </si>
  <si>
    <t>Southern Water is  seeking to support those who farm or carry out other land activities in their drinking water catchments and to work with them to minimise any impacts on water quality. This help can include specialist advice visits to look at farm infrastructure or soil management, and grants to help fund things like farmyard improvements or new equipment for environmentally-friendly cropping systems.</t>
  </si>
  <si>
    <t>Hampshire and Isle of Wight. Southern water catchments shown on the map in the following link: 
https://islandrivers.org.uk/farm-capital-grants/</t>
  </si>
  <si>
    <t>Details not provided</t>
  </si>
  <si>
    <t>Contact the following person for details on the application process: 
Gary Clarke, Catchment Management Officer (Hampshire &amp; Isle of Wight)
gary.clarke@southernwater.co.uk</t>
  </si>
  <si>
    <t>No deadlines - ongoing</t>
  </si>
  <si>
    <t>Case Studies available here: 
https://www.southernwater.co.uk/our-region/improvements-in-your-area/</t>
  </si>
  <si>
    <t>Portsmouth Water is undertaking catchment management in response to a need to tackle rising nitrate levels and other diffuse pollution issues (e.g. oils and pesticides) affecting groundwater abstracted for public water supply.</t>
  </si>
  <si>
    <t>Regions covered by Portsmouth Water.</t>
  </si>
  <si>
    <t>Land owners and 
Farmers</t>
  </si>
  <si>
    <t>Details can be found in the following document: 
https://www.portsmouthwater.co.uk/wp-content/uploads/2019/04/1.-CAPITAL-GRANT-SCHEME-BOOKLET.pdf</t>
  </si>
  <si>
    <t>Portsmouth Water’s Catchment Management
Department email address:
catchment.management@portsmouthwater.co.uk
Portsmouth Water Capital Grant Scheme
Catchment Management Department
Portsmouth Water
PO Box 8, West Street
Havant
Hampshire
PO9 1LG</t>
  </si>
  <si>
    <t>Contact the address in the cell to the left for 
details relating to the application process.</t>
  </si>
  <si>
    <t>No Deadlines - ongoing</t>
  </si>
  <si>
    <t>Lake District Foundation Funds: the Lake Distillery Fund Grants</t>
  </si>
  <si>
    <t>Grant to support community and volunteer-led groups to deliver projects that enhance water quality in lakes and rivers.</t>
  </si>
  <si>
    <t>Lake District and 
Cumbria</t>
  </si>
  <si>
    <t>Community and volunteer groups that want to improve the quality of water in lakes and rivers.</t>
  </si>
  <si>
    <t>Projects must focus on water quality in the Lake District and be able to
demonstrate that they will contribute to at least one of the following objectives
for the fund:
• pollution prevention and mitigation,
• habitat creation and protection,
• invasive species control,
• species conservation,
• education.
The following types of expenditure are eligible:
• Capital
• Resource including staffing costs
• Training
• Volunteer exp</t>
  </si>
  <si>
    <t>grants@lakedistrictfoundation.org</t>
  </si>
  <si>
    <t>Eye on Calderdale: The Priority Natural Flood Management (NFM) Action Grant Scheme</t>
  </si>
  <si>
    <t>This scheme focuses on four critical areas:
-Strengthening Defences: This involves projects and schemes aimed at reducing flooding from rivers and surface water.
-Natural Flood Management (NFM): NFM focuses on managing the landscape to slow down water flow, mitigating flood risks.
-Resilient Infrastructure: This involves strengthening critical infrastructure, including sewer systems, electricity substations, and transport routes.
-Community Resilience: Collaborating with the community to prepare for and recover from flooding incidents.</t>
  </si>
  <si>
    <t>Calderdale Catchments</t>
  </si>
  <si>
    <t>Water companies
Charities
Academia
Industry (e.g. agriculture)
Local Authorities
Landowners
Community Groups
Not-for-profit
NGOs
Environmental Agencies</t>
  </si>
  <si>
    <t>Details are provided by emailing NFM@Calderdale.gov.uk</t>
  </si>
  <si>
    <t>Details are provided by emailing 
NFM@Calderdale.gov.uk</t>
  </si>
  <si>
    <t>Not available</t>
  </si>
  <si>
    <t>Llywodraeth Cymru Welsh Government</t>
  </si>
  <si>
    <t>A maximum of £7,500 funding per window for Capital Works Projects. 
Amounts vary for the other schemes.</t>
  </si>
  <si>
    <t>Charities
Academia
Industry (e.g. agriculture)
Local Authorities
Landowners
Community Groups
Not-for-profit
NGOs
Environmental Agencies</t>
  </si>
  <si>
    <t>4 March 2024 and will close on
22 November, or until the allocated
budget has been committed,
whichever is sooner.
Multiple rounds open.</t>
  </si>
  <si>
    <t>Nutrient Neutrality Scheme</t>
  </si>
  <si>
    <t xml:space="preserve">A partnership comprising Cumberland Council, the Lake District National Park Authority, Westmorland and Furness Council and the Yorkshire Dales National Park Authority are working together to try and address the issue of nutrient neutrality across Cumbria. They have launched the Enhance your Tank scheme to help deliver mitigation solutions to unlock homes affected by nutrient neutrality.
</t>
  </si>
  <si>
    <t>Landowners
Industry (e.g. agriculture)
Community Groups</t>
  </si>
  <si>
    <t>Cumbria</t>
  </si>
  <si>
    <t>Aimed at property owners with septic tanks. Further information: https://www.lakedistrict.gov.uk/?a=521152</t>
  </si>
  <si>
    <t>Existing septic tanks and package treatment plants that meet the General Binding Rules for small scale discharges to ground can be accepted onto the scheme and used for mitigation if they meet  any one of the following:
The drainage field is less than 50m from the designated site boundary, OR
The drainage field is less than 40m from any surface water feature e.g. ditch, drain, watercourse, OR
The drainage field is in an area with a slope greater than 15%, OR
The drainage field is in an area where the high water table groundwater depth is less than 2m below the surface at all times, OR
The drainage field is in flood zone 2 or 3, OR
The discharge to ground is less than 200m from any other discharge to ground.
Current small scale discharges via a PTP to surface water are already discharging nutrients directly into a watercourse and therefore there are no criteria to meet for them to be eligible for an upgrade. However if a septic tank is discharging to surface water this legally should have been upgraded by 2020 and therefore will only be able to generate credits over and above a standard legal PTP level of discharge.</t>
  </si>
  <si>
    <t>Submit expression of interest here: 
https://arcg.is/1umyWn0</t>
  </si>
  <si>
    <t>12th September 2024
- may extend to future years</t>
  </si>
  <si>
    <t>Not Available online</t>
  </si>
  <si>
    <t>This grant is for capital items which improve farm productivity through more efficient use of water for irrigation, and to secure water supplies for crops.</t>
  </si>
  <si>
    <t>England</t>
  </si>
  <si>
    <t>£35,000-£500,000</t>
  </si>
  <si>
    <t>For arable or horticultural business in England, growing or intending to grow: irrigated food crops or ornamentals or forestry nurseries</t>
  </si>
  <si>
    <t>FTF@rpa.gov.uk</t>
  </si>
  <si>
    <t>Only invited applicants could apply for round 2 of the Water Management grant</t>
  </si>
  <si>
    <t>https://www.gov.uk/government/publications/water-management-grant-round-2/about-the-water-management-grant-round-2-who-can-apply-and-what-the-grant-can-pay-for</t>
  </si>
  <si>
    <t>The Slurry Infrastructure grant is designed to help you improve or expand your slurry storage capacity. This will help to make better use of organic nutrients, improve water quality, improve air quality and reduce greenhouse gases.</t>
  </si>
  <si>
    <t>£25,000 - £250,000</t>
  </si>
  <si>
    <t>Farm should already produce slurry and meet requirements for livestock numbers, see more on website: https://www.gov.uk/government/publications/slurry-infrastructure-grant-round-2-applicant-guidance/about-the-slurry-infrastructure-grant-round-2-who-can-apply-and-what-it-can-pay-for</t>
  </si>
  <si>
    <t>Only invited applicants could apply for round 2 of the Slurry Infrastructure grant</t>
  </si>
  <si>
    <t>Slurry store location and design, see more details following link: https://www.gov.uk/government/publications/slurry-infrastructure-grant-round-2-applicant-guidance/about-the-slurry-infrastructure-grant-round-2-who-can-apply-and-what-it-can-pay-for</t>
  </si>
  <si>
    <t>A short-term competitive fund to kick-start environmental renewal while creating and retaining a range of jobs in England</t>
  </si>
  <si>
    <t>£50,000 - £2m</t>
  </si>
  <si>
    <t>Eligible organisations can be partners in multiple projects provided they can demonstrate that they have the capacity and capability to deliver within the time available. For further details follow the link: https://www.heritagefund.org.uk/funding/closed-programmes/application-guidance-green-recovery-challenge-fund-round-2</t>
  </si>
  <si>
    <t>enquire@heritagefund.org.uk</t>
  </si>
  <si>
    <t>Found on the website: https://www.heritagefund.org.uk/funding/closed-programmes/application-guidance-green-recovery-challenge-fund-round-2</t>
  </si>
  <si>
    <t>22nd March 2021</t>
  </si>
  <si>
    <t>https://www.heritagefund.org.uk/funding/closed-programmes/application-guidance-green-recovery-challenge-fund-round-2</t>
  </si>
  <si>
    <t>Grants for projects seeking to control or eradicate invasive non-native species from specific aquatic and wetland environments</t>
  </si>
  <si>
    <t>Entire Anglian Water region, including Cambridgeshire</t>
  </si>
  <si>
    <t>Not-for profit groups within the named managed catchments and the Anglian Water or Hartlepool regions</t>
  </si>
  <si>
    <t>info@cambscf.org.uk and see web link https://www.cambscf.org.uk/funds/anglian-water-inns/</t>
  </si>
  <si>
    <t>https://www.cambscf.org.uk/applying/</t>
  </si>
  <si>
    <t>4 application rounds, now closed</t>
  </si>
  <si>
    <t>Will fund projects focused on capacity building that will enable local authorities and their partners to put public green spaces like parks, linear walks, nature sites and community gardens at the heart of their thinking to realise the benefits for health, prosperity, heritage, nature and local pride.</t>
  </si>
  <si>
    <t>£250,000 - £1m</t>
  </si>
  <si>
    <t>Applications are open to not-for-profit organisations, and partnerships led by not-for-profit organisations, from across the UK.  </t>
  </si>
  <si>
    <t>https://www.heritagefund.org.uk/about/contact-us</t>
  </si>
  <si>
    <t xml:space="preserve">See application checklist: https://www.heritagefund.org.uk/funding/strategic-initiatives
The application should identify the resources or support needed. For example: additional expertise to engage local communities, develop partnerships or unlock new investment.  </t>
  </si>
  <si>
    <t>12th November 2024</t>
  </si>
  <si>
    <t>See website: https://www.heritagefund.org.uk/funding/strategic-initiatives</t>
  </si>
  <si>
    <t>We want to help designated Protected Landscapes and other world-class landscapes across the UK to become better for nature and more able to welcome people from all backgrounds, including those who rarely visit them now.</t>
  </si>
  <si>
    <t>£150m</t>
  </si>
  <si>
    <t>See application checklist: https://www.heritagefund.org.uk/funding/strategic-initiatives. You apply for this through the Lottery Heritage Grants</t>
  </si>
  <si>
    <t>Not stated</t>
  </si>
  <si>
    <t>The Species Survival Fund will support the creation and restoration of wildlife-rich habitats in England. It is open to individuals and organisations working to recover nature. A short-term programme to create and restore habitats and reverse the decline of species across England, delivered on behalf of Defra.</t>
  </si>
  <si>
    <t>£250,000 - £3m</t>
  </si>
  <si>
    <t>Based in England, have a nature recovery project planned, costed and ready to start, can complete the project within 2 years. See more on the website: https://www.heritagefund.org.uk/funding/closed-programmes/species-survival-fund</t>
  </si>
  <si>
    <t>See application details: https://www.heritagefund.org.uk/funding/closed-programmes/species-survival-fund</t>
  </si>
  <si>
    <t>26th October 2023</t>
  </si>
  <si>
    <t>See website: https://www.heritagefund.org.uk/funding/closed-programmes/species-survival-fund</t>
  </si>
  <si>
    <t>£50,000 - £1m</t>
  </si>
  <si>
    <t>The scheme is open to all private landowners and organisations working with natural heritage in Wales. You must demonstrate that you are aware of and have, or be working towards obtaining, the right permissions, licences and consents to undertake activity on the protected site network or surrounding areas. The area you are improving must be in Wales, but you/your organisation can be based anywhere in the UK.</t>
  </si>
  <si>
    <t xml:space="preserve">nature@heritagefund.org.uk or see website: https://www.heritagefund.org.uk/funding/nature-networks-fund-4 </t>
  </si>
  <si>
    <t>See application process details on website: https://www.heritagefund.org.uk/funding/nature-networks-fund-4</t>
  </si>
  <si>
    <t>Last deadline is 8th November 2024</t>
  </si>
  <si>
    <t>Funding upgrades to private home owners rural sewage systems. The upgraded sewage systems will reduce excess nutrients in chalk streams.</t>
  </si>
  <si>
    <t>Landowners
Industry (e.g. agriculture)
Community groups</t>
  </si>
  <si>
    <t>Hampshire Avon Catchment (Wiltshire)</t>
  </si>
  <si>
    <t>The pre-requisites to being eligible to apply for this scheme are:
- the property must be within the Hampshire Avon catchment and in Wiltshire
- the applicant must be the homeowner or have the homeowner's permission
- the project cannot already be agreed and/or completed</t>
  </si>
  <si>
    <t>revampyourtank@wiltshire.gov.uk or on 01225 718863</t>
  </si>
  <si>
    <t>Applicants should submit an expression of interest on the scheme website: https://www.wiltshire.gov.uk/planning-bio-development</t>
  </si>
  <si>
    <t>Ongoing</t>
  </si>
  <si>
    <t>Provision of property details to determine eligibility.</t>
  </si>
  <si>
    <t>It aims to stimulate private investment and market based mechanisms that improve and safeguard the domestic natural environment by helping nature projects get ready for investment.</t>
  </si>
  <si>
    <t>£10,000 - £100,000</t>
  </si>
  <si>
    <t>See eligibility requirements on website: https://www.gov.uk/government/publications/apply-for-a-grant-from-the-natural-environment-investment-readiness-fund/how-to-apply-for-a-natural-environment-investment-readiness-fund-grant</t>
  </si>
  <si>
    <t>The NEIRF is a competitive grants scheme providing grants of between £10,000 and £100,000 to support the development of nature projects in England that: help farmers achieve one or more natural environmental outcomes from the Environmental Improvement Plan, have the ability to help farmers produce revenue from ecosystem services to attract and repay investment and produce an investment model that can be scaled up and reproduced by farmers.</t>
  </si>
  <si>
    <t xml:space="preserve">NEIRF@environment-agency.gov.uk or see website: https://www.gov.uk/government/publications/apply-for-a-grant-from-the-natural-environment-investment-readiness-fund/how-to-apply-for-a-natural-environment-investment-readiness-fund-grant  </t>
  </si>
  <si>
    <t>See application details on website: https://www.gov.uk/government/publications/apply-for-a-grant-from-the-natural-environment-investment-readiness-fund/how-to-apply-for-a-natural-environment-investment-readiness-fund-grant</t>
  </si>
  <si>
    <t>16th February 2024</t>
  </si>
  <si>
    <t>See website: https://www.gov.uk/government/publications/apply-for-a-grant-from-the-natural-environment-investment-readiness-fund/how-to-apply-for-a-natural-environment-investment-readiness-fund-grant</t>
  </si>
  <si>
    <t>The Habitats Wales Scheme is an interim agri-environment scheme announced to maintain and increase the area of habitat land under management across Wales prior to full introduction of the Sustainable Farming Scheme (SFS).</t>
  </si>
  <si>
    <t>See eligibility requirements under "land classifications": https://www.gov.wales/habitat-wales-scheme-outline-html</t>
  </si>
  <si>
    <t>See conditions under "management requirements": https://www.gov.wales/habitat-wales-scheme-outline-html</t>
  </si>
  <si>
    <t>https://www.gov.wales/contact-rural-payments-wales-rpw-online</t>
  </si>
  <si>
    <t>See application detail on website: https://www.gov.wales/habitat-wales-scheme-outline-html#130798</t>
  </si>
  <si>
    <t>1st January 2024</t>
  </si>
  <si>
    <t>Habitat area types, see website for more information: https://www.gov.wales/habitat-wales-scheme-outline-html#130798</t>
  </si>
  <si>
    <t xml:space="preserve">The Programme for Government sets out our commitments to continue supporting farmers to produce food in a sustainable way, whilst taking action to respond to the climate emergency and to help reverse the decline in biodiversity. Funding support for farmers, land managers and associated rural sectors is delivered through a flexible framework of support, with schemes – including the Nutrient Management Investment Scheme - delivering towards the following themes: farm scale land management, on farm environmental improvements, on farm efficiency and diversification, landscape scale land management, woodland and forestry, food and farming supply chains. </t>
  </si>
  <si>
    <t>£12,000 - £50,000</t>
  </si>
  <si>
    <t>See conditions on website: https://www.gov.wales/nutrient-management-investment-scheme-window-2-guidance-html</t>
  </si>
  <si>
    <t>See application details on website: https://www.gov.wales/nutrient-management-investment-scheme-window-2-guidance-html#149082</t>
  </si>
  <si>
    <t>See website: https://www.gov.wales/nutrient-management-investment-scheme-window-2-guidance-html#149082</t>
  </si>
  <si>
    <t>See conditions on website: https://www.gov.wales/organic-conversion-scheme-guidance-html</t>
  </si>
  <si>
    <t>See application details on website: https://www.gov.wales/organic-conversion-scheme-guidance-html#101485</t>
  </si>
  <si>
    <t>Closed to applications.</t>
  </si>
  <si>
    <t>See website: https://www.gov.wales/organic-conversion-scheme-guidance-html#101485</t>
  </si>
  <si>
    <t>The Scottish Marine Environmental Enhancement Fund (SMEEF) is designed to help bridge the nature finance gap. SMEEF is a flexible fund that responds to the needs of the marine restoration community in Scotland.</t>
  </si>
  <si>
    <t>Charities
Community Groups
Not-for-profit
NGOs
Academia</t>
  </si>
  <si>
    <t xml:space="preserve">The following general conditions apply to SMEEF funding:
SMEEF will not normally fund exactly the same project twice. However they can fund a new phase of an ongoing or existing project. They cannot pay for activities that have already started. The applicant(s) must be based in the UK and all projects must be delivered in Scotland. Projects should focus on the marine and coastal environment. The habitats and species at the heart of the project should be reliant on the marine environment as a major part of their nutrient or life cycle. </t>
  </si>
  <si>
    <t>grants@smeef.scot</t>
  </si>
  <si>
    <t>Applications currently closed, for more information email grants@smeef.scot</t>
  </si>
  <si>
    <t>Applications closed - join the mailing list</t>
  </si>
  <si>
    <t>See website: https://smeef.scot/grants/</t>
  </si>
  <si>
    <t>See projects on the website: https://smeef.scot/projects/</t>
  </si>
  <si>
    <t>Rural Development: Less Favoured Area Support Scheme</t>
  </si>
  <si>
    <t>Under article 31 of the European Union Rural Development Regulations, people farming in areas facing natural or other specific constraints may be eligible for an annual income support payment. This funding:
- Allows farmers and crofters to continue to run viable businesses
- Avoids the risk of land abandonment
- Helps maintain the countryside by ensuring continued agricultural land use
- Maintains and promotes sustainable farming systems</t>
  </si>
  <si>
    <t>Water companies
Charities
Industry (e.g. agriculture)
Local Authorities
Landowners
Community Groups
Not-for-profit
NGOs</t>
  </si>
  <si>
    <t>The scheme is open to livestock farmers and crofters actively farming Scottish land designated as a Less Favoured Area.</t>
  </si>
  <si>
    <t>The conditions vary depending on historic stocking densities.</t>
  </si>
  <si>
    <t>Applicants can claim for LFASS annually through their Single Application Form each year during the annual application window.</t>
  </si>
  <si>
    <t>Further information: https://www.ruralpayments.org/topics/all-schemes/lfass/</t>
  </si>
  <si>
    <t>Management options and capital items for water quality and flood risk options, including: 
Converting Arable at Risk of Erosion or Flooding to Low-input Grassland
Management of Floodplains
Alternative Watering
Coastal Embankment Breaching, Lowering or Removal
Hard Standings for Troughs and Gateways
Livestock Crossing
Livestock Tracks
Managing Steading Drainage and Rural Sustainable Drainage Systems
Pesticide Handling Facilities
Restoring (Protecting) River Banks
River Embankment Breaching, Lowering or Removal
Rural Sustainable Drainage Systems – Pond
Rural Sustainable Drainage Systems – Sediment Traps and Bunds
Rural Sustainable Drainage Systems – Swales
Rural Sustainable Drainage Systems – Wetland
Water-use Efficiency – Irrigation Lagoon</t>
  </si>
  <si>
    <t>The scheme is open to farmers, groups of farmers and other land managers with land in Scotland, who are registered with us and have a Business Reference Number.
They must be able to demonstrate that they have the legal right to carry out the projects to be funded for the length of the contract and any associated monitoring period.
To maximise environmental outcomes and ensure value for money, support under the Agri-Environment Climate Scheme is geographically targeted.
This means applicants will need to check which options are available in your area before applying. Applicants can check which options and capital items they are eligible to apply for by entering their Holding Code in the targeting tool. If they have several holdings, they will need to enter each of these separately.</t>
  </si>
  <si>
    <t>Each management option and capital item page has a link to supporting information which provides recommendations, best practice and conditions in relation to the why, where, how and what for each option and capital item.</t>
  </si>
  <si>
    <t>The information required to apply is provided here: https://www.ruralpayments.org/topics/all-schemes/agri-environment-climate-scheme/agri-environment-climate-scheme-full-guidance-menu/information-to-submit-with-your-application/</t>
  </si>
  <si>
    <t>Various - currently 58 items/types when the following areas of interest are selected: Coast, Flood Risk, Water Quality. Detailed conditions on the website.</t>
  </si>
  <si>
    <t>https://www.gov.uk/capital-grant-finder</t>
  </si>
  <si>
    <t>https://www.daera-ni.gov.uk/articles/environment-fund-water-quality-improvement-strand</t>
  </si>
  <si>
    <t>This is a grant competition for not-for-profit organisations and councils, funding projects to deliver water quality improvements, help connect people with the water environment and bring about behaviour change.</t>
  </si>
  <si>
    <t>UK - Northern Ireland</t>
  </si>
  <si>
    <t>Once a year - May</t>
  </si>
  <si>
    <t>Once a year - November</t>
  </si>
  <si>
    <t>Annually - 
Application month deadlines vary year to year</t>
  </si>
  <si>
    <t>https://www.thames21.org.uk/empower-rivers-community-grant/ 
AND 
2025 handbook: https://www.thames21.org.uk/wp-content/uploads/2025/03/EMPOWER-Rivers-Community-Grant-Information-2025.pdf</t>
  </si>
  <si>
    <t>https://pla.co.uk/thames-environment-fund?utm_campaign=Thames%20Environment%20Fund&amp;utm_content=335783044&amp;utm_medium=social&amp;utm_source=linkedin&amp;hss_channel=lcp-336010</t>
  </si>
  <si>
    <t>https://www.herefordshire.gov.uk/directories/grants/natural-flood-management-nfm-construction-grant-scheme-march-2027/</t>
  </si>
  <si>
    <t>https://www.herefordshire.gov.uk/community/flooding/herefordshire-natural-flood-management-nfm-project/natural-flood-management-nfm-case-studies/</t>
  </si>
  <si>
    <t>Annually, 
generally September to October</t>
  </si>
  <si>
    <t>Year-Round Funding. 2026 applications yet to open (last updated Jan 2026)</t>
  </si>
  <si>
    <t>Year Round Funding. 2026 applications yet to open (last updated Jan 2026)</t>
  </si>
  <si>
    <t>See website for updates and further information: https://corporate.wessexwater.co.uk/our-purpose/rivers-and-coastal-waters/shapwick-and-sturminster-marshall</t>
  </si>
  <si>
    <t xml:space="preserve">See website for updates and further information: https://corporate.wessexwater.co.uk/our-purpose/rivers-and-coastal-waters/catchment-management/somerset-phosphorus
</t>
  </si>
  <si>
    <t>Varies by project</t>
  </si>
  <si>
    <t xml:space="preserve">Depending on what is most appropriate for each project, we ask the projects we fund to help protect the environment:
- by supporting nature’s conservation and recovery
- by reducing negative environmental impact
- by supporting heritage to adapt to the climate crisis.
See https://www.heritagefund.org.uk/funding/good-practice-guidance/environmental-sustainability for further information.
</t>
  </si>
  <si>
    <t>If applicants have any queries in relation to their application they should speak to their local Agricultural Advisor (contact details provided in handbook), or email; farming4water@severntrent.co.uk before submitting their application.
Further information about the scheme and application can be found here: https://www.stwater.co.uk/about-us/environment/working-with-farmers-and-land-managers/severn-trent-environmental-protection-scheme/</t>
  </si>
  <si>
    <t>Apply online here: https://steps.flexigrant.com/
Further information can be found here: https://www.stwater.co.uk/about-us/environment/working-with-farmers-and-land-managers/severn-trent-environmental-protection-scheme/</t>
  </si>
  <si>
    <t>30th January 2026</t>
  </si>
  <si>
    <t>Annually.
Applications typically open September - November</t>
  </si>
  <si>
    <t>The program is running until 2027 and awards grants on an ad-hoc basis.</t>
  </si>
  <si>
    <t>Charities
Community Groups
Not-for-profit
Local Authorities</t>
  </si>
  <si>
    <t>Community Group (including Community Interest Companies)
OR
Parish/Town Council or Parish Meeting with fewer than 200 registered electors
OR
Parish/Town Council of any size</t>
  </si>
  <si>
    <t>The project must meet a list of criteria which state community benefits/enhancement. 
Biodiversity projects must support:
-the creation or improvement of wildlife habitats (terrestrial or aquatic)
-the improvement of existing habitat.
A local nature recovery plan is recommended for projects: https://naturalcambridgeshire.org.uk/wp-content/uploads/2021/01/Doubling-Nature_Local-nature-recovery-toolkit.pdf</t>
  </si>
  <si>
    <t xml:space="preserve">Applications can be made online: https://scambs-framwork.egovhub.net/COMMUNITYGRANTAPPLICATIONFORM/launch </t>
  </si>
  <si>
    <t xml:space="preserve">enquiries@cambridgecvs.org.uk
More information can be found: https://www.scambs.gov.uk/grants-and-funding/community-chest-grants-open
</t>
  </si>
  <si>
    <t>Annual. Typically close each April and October</t>
  </si>
  <si>
    <t>A copy of your organisation’s constitution or mission statement - not required if applicant is a Parish or Town Council
A copy of your safeguarding policy - not required if applicant is a Parish or Town Council
A copy of any correspondence from your local District Councillor(s) showing they are supportive of your project - failure to provide will slow down your application or cause a deferral
A copy of your latest accounts (audited if available)
A quote for the community activity or project
A bank statement for the account you wish the funds to be paid into.  Statement must be dated within the last month.
For biodiversity projects please include:
A plan of the proposed work, including a project map and project outcomes
A timeline of the proposed work indicating mileposts and delivery dates
A brief management plan which describes how the project will be sustainable
In addition, the following will be required if relevant to the project:
Appropriate protection policies: children, young people, vulnerable adults
Public Rights of Way consent from landowner
Any other relevant material that would support your application</t>
  </si>
  <si>
    <t>Found on the website: https://www.naturesave.co.uk/naturesave-trust/about-the-naturesave-trust/</t>
  </si>
  <si>
    <t>Criteria can be found here: https://www.naturesave.co.uk/naturesave-trust/funding-guidelines-faqs/</t>
  </si>
  <si>
    <t>Funding windows open January-February, May-June and September-October. You apply online with a description of the work you want to do.
Application site: https://www.naturesave.co.uk/naturesave-trust/apply-to-the-naturesave-trust/</t>
  </si>
  <si>
    <t>If you are a charity, community group, CIC, organisation, or business that is based in the UK and is working on a relevant project within the theme of the funding round, then you are very welcome to apply.</t>
  </si>
  <si>
    <t>Found on the website: https://esmeefairbairn.org.uk/apply-for-a-grant/our-natural-world-guidance/
Specific guidance on fresh water: https://esmeefairbairn.org.uk/our-aims/our-natural-world/freshwater/</t>
  </si>
  <si>
    <t>All closed in 2024</t>
  </si>
  <si>
    <t>2025 funding deadline closed. Unsure if it will re-open 2026 (updated January 2026)</t>
  </si>
  <si>
    <t>See grant providers website (varied per provider) - 
https://arcadiafund.org.uk/grants-programmes</t>
  </si>
  <si>
    <t>Varies per provider, up to 2031</t>
  </si>
  <si>
    <t>Application process is set out at: 
https://proposals.etag.ee/water4all/</t>
  </si>
  <si>
    <t>Applications closed 2025. Unclear if they will re-open (Updated January 2026)</t>
  </si>
  <si>
    <t>Grants and advice provided to farmers and landowners for options that benefit water quality and resources</t>
  </si>
  <si>
    <t xml:space="preserve">Application for provided on website here: 
https://www.southeastwater.co.uk/about/our-environment/capital-grants-scheme/
Contact a catchment advisor before applying. 
</t>
  </si>
  <si>
    <t>Norfolk Rivers Region.</t>
  </si>
  <si>
    <t xml:space="preserve">Contact info@norfolkriverstrust.org for details 
relating to the application process.
See website for further information: https://www.accesstonature.co.uk/
https://www.norfolkriverstrust.org/projects/the-aviva-access-to-nature-fund </t>
  </si>
  <si>
    <t>Close 2025 (Updated January 2026)</t>
  </si>
  <si>
    <t>Details not provided. Appears funding is provided through the Catchment first funding scheme: https://www.southernwater.co.uk/about-us/environmental-performance/healthy-rivers-and-seas/catchment-first/</t>
  </si>
  <si>
    <t>Applications must be made electronically via the online form at www.lakedistrictfoundation.org/apply-for-a-grant</t>
  </si>
  <si>
    <t>Full details: www.lakedistrictfoundation.org/apply-for-a-grant</t>
  </si>
  <si>
    <t>Further information: https://eyeoncalderdale.com/natural-flood-management-calderdale/
Guidance on requirements for funding also found here: https://eyeoncalderdale.s3.eu-west-2.amazonaws.com/wp-content/uploads/2025/07/08112450/Calderdale-NFM-Guide-final-designed-version-Farmers-Guidance.pdf</t>
  </si>
  <si>
    <t>Now closed</t>
  </si>
  <si>
    <t>Ongoing (updated January 2026)</t>
  </si>
  <si>
    <t>To apply to this scheme, you will first need to register with and then log in to Rural Payments and Services. See application details on the website: https://www.ruralpayments.org/topics/all-schemes/agri-environment-climate-scheme/</t>
  </si>
  <si>
    <t>Schemes open to applications annually</t>
  </si>
  <si>
    <t>Charities 
NGOs 
Community groups 
Not-for-profit</t>
  </si>
  <si>
    <t>Scotland (Argyll and Bute)</t>
  </si>
  <si>
    <t>£300 - £10,000</t>
  </si>
  <si>
    <t>Constituted groups and organisations working to benefit people in the fund area can apply. The fund area covers the following post-codes: PA35 1HN; PA35 1HL; PA35 1HH; PA35 1HJ, and PA35 1HS</t>
  </si>
  <si>
    <t xml:space="preserve">See website for purpose of funds and additional criteria: foundationscotland.org.uk/apply-for-funding/funding-available/river-avich-hydro-open-grants-fund </t>
  </si>
  <si>
    <t>communitybenefit@foundationscotland.org.uk
0131 524 0300</t>
  </si>
  <si>
    <t>Apply online through application portal: https://foundationscotland3.my.site.com/portal/s/applicationformloader?programmeId=a0uP200000TohKPIAZ</t>
  </si>
  <si>
    <t>Scheme open until 2037</t>
  </si>
  <si>
    <t>See community action plan website: https://www.awesome-energy.com/community.html
And funding website: https://www.foundationscotland.org.uk/apply-for-funding/funding-available/river-avich-hydro-open-grants-fund</t>
  </si>
  <si>
    <t>https://www.awesome-energy.com/community.html</t>
  </si>
  <si>
    <t>This plan will help you identify the works you should complete to create or restore habitat or features. The work may:
- improve biodiversity
- improve water quality
- help with carbon capture
- improve climate adaptation
- enhance priority habitats
- improve the historic environment</t>
  </si>
  <si>
    <t xml:space="preserve">Landowners
Industry (e.g. agriculture)
</t>
  </si>
  <si>
    <t>£1,200 per plan</t>
  </si>
  <si>
    <t>See website for further information: https://www.gov.uk/countryside-stewardship-grants/implementation-plan-pa1</t>
  </si>
  <si>
    <t>You must:
- produce a brief for the implementation plan and agree this with Natural England
- commission the implementation plan and make sure it’s completed in line with the specification by an agreed date
- submit a copy of the completed implementation plan with your claim for approval by Natural England</t>
  </si>
  <si>
    <t>See website: https://www.gov.uk/countryside-stewardship-grants/implementation-plan-pa1</t>
  </si>
  <si>
    <t>Apply online through application portal: https://www.gov.uk/government/publications/capital-grants-plans-2026/applicants-guide-capital-grants-plans-2026</t>
  </si>
  <si>
    <t>Open all year</t>
  </si>
  <si>
    <t>See application guide: https://www.gov.uk/government/publications/capital-grants-plans-2026/applicants-guide-capital-grants-plans-2026
And capital grant website: https://www.gov.uk/countryside-stewardship-grants/implementation-plan-pa1</t>
  </si>
  <si>
    <t>This plan will help you identify the works you should complete to create or restore habitat or features. The work may:
- improve biodiversity
- improve water quality
- help with carbon capture
- improve climate adaptation
- enhance priority habitats
- improve the historic environment
If you’re applying for a successive PA2 on the same land for the same project, you must:
- provide evidence of what outcomes were achieved in previous years
- explain why you need funding for a new feasibility study, for example, to respond to a change in dynamic river or coastal habitats</t>
  </si>
  <si>
    <t>100% of actual costs</t>
  </si>
  <si>
    <t>You must:
- agree who’s the responsible body supporting your application (Natural England or the Forestry Commission, or Historic England only with HE1 capital item applications)
- produce a detailed brief for the feasibility study and agree this with the responsible body
provide the responsible body with at least 3 written quotations with specifications for preparing the study including any associated costs
- agree the selected quotation and grant contribution with the responsible body
- commission the feasibility study with the selected provider and make sure it’s completed in line with the specification by an agreed date
- submit a copy of the completed PA2: Feasibility study with your claim for approval
The detailed requirements for this item will be adapted to your site. You should discuss and agree these requirements with your adviser.</t>
  </si>
  <si>
    <t>See website: https://www.gov.uk/countryside-stewardship-grants/implementation-plan-pa2</t>
  </si>
  <si>
    <t>See application guide: https://www.gov.uk/government/publications/capital-grants-plans-2026/applicants-guide-capital-grants-plans-2026
And capital grant website: https://www.gov.uk/countryside-stewardship-grants/implementation-plan-pa2</t>
  </si>
  <si>
    <t>The key purpose of Riverwoods is to create a network of river woodlands and healthy river systems throughout Scotland, which will deliver a range of benefits including flood protection, improved water quality and improvements for salmon fisheries, as well as helping to tackle the twin challenges of climate change and biodiversity loss.
The Riverwoods Development Grant seeks to address one of the key barriers to river woodland creation by supporting the scoping, planning and design of River Woodland Development Plans for the benefit of river health, habitat connectivity and access to nature in Scotland.</t>
  </si>
  <si>
    <t>All projects must produce a written River Woodland Development Plan for an identified and defined area in Scotland. This Plan should detail clear and realistic next steps towards expanding and/or improving the state of riparian vegetation and freshwater habitats primarily through river woodland creation.</t>
  </si>
  <si>
    <t>riverwoods@scottishwildlifetrust.org.uk</t>
  </si>
  <si>
    <t>Apply online through application portal: https://www.riverwoods.org.uk/project/riverwoods-development-grant/</t>
  </si>
  <si>
    <t>18th July 2025</t>
  </si>
  <si>
    <t>See website for further details: https://www.riverwoods.org.uk/project/riverwoods-development-grant/</t>
  </si>
  <si>
    <t>The Landscape Enhancement Initiative (LEI) is a grant scheme that is reducing the impact of National Grid’s existing electricity transmission lines in England and Wales</t>
  </si>
  <si>
    <t>England and Wales</t>
  </si>
  <si>
    <t>Successful schemes will have a focus on implementing the most effective and value for money solutions to reduce the landscape and visual impacts of National Grid’s existing electricity infrastructure in National Landscapes and National Parks.</t>
  </si>
  <si>
    <t xml:space="preserve">See selection criteria: https://www.nationalgrid.com/electricity-transmission/network-and-infrastructure/visual-impact-provision/landscape-enhancement-initiative#230548828-2370035792 </t>
  </si>
  <si>
    <t xml:space="preserve">07971 000158
Trudi.Webber@nationalgrid.com
</t>
  </si>
  <si>
    <t>Apply online: https://www.nationalgrid.com/electricity-transmission/network-and-infrastructure/visual-impact-provision/landscape-enhancement-initiative#230548828-2370035792</t>
  </si>
  <si>
    <t>See website for further details: https://www.nationalgrid.com/electricity-transmission/network-and-infrastructure/visual-impact-provision/landscape-enhancement-initiative#230548828-2370035792</t>
  </si>
  <si>
    <t>ReNature funding supports land owners, land managers and community organisations to create new nature sites, and to manage existing sites better for biodiversity. We are looking for projects that will showcase positive management for nature in the community.
Projects could create wildflower meadows, heathland, hedgerow, areas managed as chalk grassland, more natural rivers or dewponds.</t>
  </si>
  <si>
    <t xml:space="preserve">South Downs National Park </t>
  </si>
  <si>
    <t>£2,000 - £25,000</t>
  </si>
  <si>
    <t>Sites must be within the National Park boundary. If the site is already designated for nature, e.g. a SSSI, we will be looking at whether you propose bigger, better and more joined up habitat areas that offer connection to the wider landscape.</t>
  </si>
  <si>
    <t xml:space="preserve">You can apply for a combination of natural landscape features (such as trees and pond creation), built items (e.g. fencing), equipment and tools (where essential to successful ongoing land -management)
-Where a project facilitator or training is essential to deliver a project, these costs will be considered on a case-by-case basis.
-For community organisations we can offer grant towards the first year of your management plan, where essential to establish the site.
-Current ReNature projects include chalk grassland improvements on a Golf Course, reversion of recreational spaces to wildflower meadows and supporting the transition of an old arable field to grassland.
</t>
  </si>
  <si>
    <t>https://southdownstrust.org.uk/renature-fund/</t>
  </si>
  <si>
    <t>Apply online: https://southdownstrust.org.uk/renature-fund/</t>
  </si>
  <si>
    <t>See website for further details: https://southdownstrust.org.uk/renature-fund/</t>
  </si>
  <si>
    <t>£500 - £5,000</t>
  </si>
  <si>
    <t>https://southdownstrust.org.uk/community-pitch-2025/</t>
  </si>
  <si>
    <t>grants@southdowns.gov.uk</t>
  </si>
  <si>
    <t>Apply online: https://southdownstrust.org.uk/community-pitch-2025/</t>
  </si>
  <si>
    <t>Closed for 2025, expected to re-open 2026</t>
  </si>
  <si>
    <t>See website for further details: https://southdownstrust.org.uk/community-pitch-2025/</t>
  </si>
  <si>
    <t>Awards of £500-£5,000 are being offered to shortlisted project and community groups to take positive climate action in the Ouse Valley.
Details several different types of funding within the Community Pitch</t>
  </si>
  <si>
    <t xml:space="preserve">The following items are eligible for grant:
• Capital items - such as the purchase of equipment and materials. E.g. irrigation equipment for
maintaining a community orchard, signage about cultural heritage, planters for a community garden,
tools for conservation work.
• Professional contractors - such as builders and tradespeople to install a pond or the interior of
a new community workshop.
• Cultural activities - community arts and heritage activities that are based on or inspired by the
South Downs. For example, the cost of an external artist or facilitator to lead a programme of
workshops, art materials, exhibition materials.
• Events &amp; festivals – equipment and materials to support events. Grants given for one-off events
and towards festivals are capped at £2,000. The events must contribute to and be based on the
special qualities of the South Downs rather than simply being a community event which takes place
in National Park. </t>
  </si>
  <si>
    <t>Funding for efforts that contribute towards community in the South Downs National Park area</t>
  </si>
  <si>
    <t>Up to £10,000</t>
  </si>
  <si>
    <t>https://southdownstrust.org.uk/the-sustainable-communities-fund/</t>
  </si>
  <si>
    <t>Apply online: https://southdownstrust.org.uk/the-sustainable-communities-fund/</t>
  </si>
  <si>
    <t>See information sheet: https://southdownstrust.org.uk/app/uploads/2024/12/SCF-Information-Sheet.pdf</t>
  </si>
  <si>
    <t>Recently funded projects: https://southdownstrust.org.uk/recently-funded/</t>
  </si>
  <si>
    <t>Are you a landowner or manager, or representative of an area in the South Downs National Park who may be interested in creating or re-establishing a pond or dew pond as wildlife habitat and watering hole for livestock?
Water bodies provide a biodiverse habitat for a multitude of species with ponds supporting around 70 per cent of all freshwater species found in lowland landscapes in the UK.
Dew ponds are synonymous with the chalk grassland of the South Downs, historically being dug by farmers as a watering hole for livestock and some dating back several hundred years. Over many decades and due to changes in farming practices, dozens of these wildlife oases have fallen into disrepair or been lost completely</t>
  </si>
  <si>
    <t>Hampshire and Sussex</t>
  </si>
  <si>
    <t>https://southdownstrust.org.uk/apply-for-funding/pounds-for-ponds-fund/</t>
  </si>
  <si>
    <t>Apply online: https://southdownstrust.org.uk/apply-for-funding/pounds-for-ponds-fund/</t>
  </si>
  <si>
    <t>See website for further information: https://southdownstrust.org.uk/apply-for-funding/pounds-for-ponds-fund/</t>
  </si>
  <si>
    <t>Case studies found on website: https://southdownstrust.org.uk/apply-for-funding/pounds-for-ponds-fund/</t>
  </si>
  <si>
    <t>The Bluespaces scheme focuses on partnership funding to deliver improvements to areas where the water environment can be accessed and enjoyed by our customers.</t>
  </si>
  <si>
    <t>Essex, Suffolk and Northumbria</t>
  </si>
  <si>
    <t xml:space="preserve">Bluespaces are the environments covering or close to all surface water within our regions.
This includes streams, rivers, ditches, lakes, reservoirs, ponds, wetlands, fens, bogs, marshes, reedbeds, canals, coasts and beaches.
-NWG defines bluespaces as the area around water that is freely accessible to the public via road, footpath, bridleway or other public right of way, or accessible via a free point of access, including a country park, beach or other public area. 
-At least one of the following factors should apply to class public access close to water as accessible water environment: 
-Immediate vicinity of water (within 100m) 
-Visibility of water and water associated wildlife 
Sound of water and water associated wildlife  
Touch and interaction opportunities with water </t>
  </si>
  <si>
    <t>See project criteria on website: https://www.nwg.co.uk/responsibility/environment/bluespaces/our-scheme/</t>
  </si>
  <si>
    <t>bluespaces@nwl.co.uk</t>
  </si>
  <si>
    <t>Apply online: https://www.nwg.co.uk/responsibility/environment/bluespaces/our-scheme/</t>
  </si>
  <si>
    <t>Past projects found on website: https://www.nwg.co.uk/responsibility/environment/bluespaces/our-past-projects/</t>
  </si>
  <si>
    <t>We're launching a £2 million Nature Recovery Fund to support local community groups with a focus on the environment. This fund will be available across the region to deliver tangible, community-led improvements to nature and water quality. This new opportunity to invest in nature, water and people arises from the £24m package of enforcement measures approved by Ofwat following an investigation into failures at wastewater treatment works and networks. The South West Water Nature Recovery Fund offers two levels of grants that will run in parallel with each other to support a wide range of project sizes and organisations.</t>
  </si>
  <si>
    <t xml:space="preserve">Charities 
NGOs 
Community groups 
Not-for-profit
</t>
  </si>
  <si>
    <t>Within South West Water service area</t>
  </si>
  <si>
    <t>£10,000 (small grant) and £250,000 (large grant)</t>
  </si>
  <si>
    <t>The Nature Recovery Fund is open to a range of local groups committed to delivering environmental benefits in their local communities. Eligible applicants include:
- Registered charities and other not-for-profit organisations
- Constituted groups or clubs with a governing document
- Community Interest Companies (CICs)
Local community groups, such as cricket clubs, allotment groups, scout groups, and garden clubs.
We particularly welcome applications from local community groups with a strong focus on the environment, as priority will be given to these types of organisations.</t>
  </si>
  <si>
    <t>Funding can be used for:
Equipment hire or purchase.
Skills and training.
Employee salaries for work directly on the project.
Professional fees (e.g. builders, groundworkers, interpretation design agencies).</t>
  </si>
  <si>
    <t>NatureRecovery@southwestwater.co.uk</t>
  </si>
  <si>
    <t>£10,000 grant - https://www.southwestwater.co.uk/environment/projects/nature-recovery-fund/nature-recovery-fund-application-form-10k
£25,000 grant - https://www.southwestwater.co.uk/environment/projects/nature-recovery-fund/nature-recovery-fund-application-form-250k</t>
  </si>
  <si>
    <t>See website for further information: https://www.southwestwater.co.uk/environment/projects/nature-recovery-fund</t>
  </si>
  <si>
    <t>See website for project ideas: https://www.southwestwater.co.uk/environment/projects/nature-recovery-fund</t>
  </si>
  <si>
    <t>The Water Discovery Challenge (Discovery) is a £7.5 million competition to accelerate the development and adoption of promising new innovations for the water sector to benefit customers, communities and the environment. It aims to achieve this by directly supporting organisations with bold, early-stage solutions and facilitating their engagement with water companies.
In particular, we are inviting innovators from other sectors – including energy, construction, agriculture, aerospace and Tech/AI – to bring fresh thinking to the urgent challenges facing the water sector in England and Wales.
Discovery is a 20-month competition that brings together a blend of seed funding, non-financial support and sector mentorship to support innovations to launch and succeed in the water sector in England and Wales.</t>
  </si>
  <si>
    <t>The Water Discovery Challenge 2 welcomes entries from any sector and all types of organisations, domestic or international.
To be eligible to enter, organisations must:
Be a UK incorporated entity
Hold a UK business bank account upon entry
Comply with the terms and conditions
Not be a regional, water or wastewater company in England and Wales</t>
  </si>
  <si>
    <t>See website for further conditions: https://waterinnovation.challenges.org/discovery2/</t>
  </si>
  <si>
    <t>https://waterinnovation.challenges.org/discovery2/</t>
  </si>
  <si>
    <t>Apply online: https://waterinnovation.challenges.org/discovery2/preparing-your-entry/</t>
  </si>
  <si>
    <t>8th April 2026</t>
  </si>
  <si>
    <t>See handbook: https://waterinnovation.challenges.org/wp-content/uploads/sites/3/2026/01/Innovator-Handbook-Water-Discovery-Challenge-2-V1.pdf</t>
  </si>
  <si>
    <t>In Breakthrough 6, Ofwat is eager to hear even bigger and bolder ideas, with a greater focus on generating and sharing knowledge, and rolling out successful innovations.</t>
  </si>
  <si>
    <t>£150- £10 million</t>
  </si>
  <si>
    <t>There are two different streams, see websites for further information:
https://waterinnovation.challenges.org/breakthrough6/catalyst/
https://waterinnovation.challenges.org/breakthrough6/transform/</t>
  </si>
  <si>
    <t>https://waterinnovation.challenges.org/breakthrough6/</t>
  </si>
  <si>
    <t>Apply online: https://waterinnovation.challenges.org/breakthrough6/</t>
  </si>
  <si>
    <t>Closed 2025/2026</t>
  </si>
  <si>
    <t xml:space="preserve">The water sector in England and Wales is at risk of falling short of its long-term goals for water efficiency, with an estimated deficit of nearly 5 billion litres per day in England by 2055. The Water Efficiency Lab (WEL) is a new challenge-led competition to attract innovative solutions to specific water efficiency challenges and unlock progress on water efficient technology, processes and approaches. </t>
  </si>
  <si>
    <t>£150-£1.5 million</t>
  </si>
  <si>
    <t>WEL 1 is seeking to fund a diverse portfolio of solutions that meet
the Challenge Statement, from a range of different innovators and
organisations, including, for example, water companies (including
wholesalers, NAVs and water retailers), behavioural science firms,
tech companies, software developers, hardware manufacturers,
consultancies, non-profit organisations and universities.</t>
  </si>
  <si>
    <t>https://waterinnovation.challenges.org/water-efficiency-lab/</t>
  </si>
  <si>
    <t>Apply online: https://challenges.submittable.com/submit/2609cfce-9968-475e-a202-0efe25b3f6f1/water-efficiency-lab-1</t>
  </si>
  <si>
    <t>10th March 2026, anticipated to re-open each year until 2030</t>
  </si>
  <si>
    <t xml:space="preserve">The Water Innovation Implementation Programme is designed to help move innovations from successful trials to be implemented at scale. 
The Programme focuses on turning proven tools, technologies and approaches into routine operations across England and Wales – delivering better outcomes for customers, communities and the environment. </t>
  </si>
  <si>
    <t>£100,000 - £1m</t>
  </si>
  <si>
    <t>https://waterinnovation.challenges.org/implementation-programme/</t>
  </si>
  <si>
    <t>Apply online: https://waterinnovation.challenges.org/implementation-programme/</t>
  </si>
  <si>
    <t>Anglian Water’s Thriving Communities Fund is an environmental and social fund that offers grants of between £10,000 and £100,000 to support projects across the entire Anglian Water region that are focused on the natural water environment whilst also delivering social benefits.</t>
  </si>
  <si>
    <t>Charities
Community Groups
Not-for-profit
NGOs</t>
  </si>
  <si>
    <t xml:space="preserve">Anglian Water catchment areas
</t>
  </si>
  <si>
    <t>Applications are sought from non-profit organisations in the Anglian Water region with a track record of successful delivery. They must demonstrate how a project will benefit both the natural water environment and the people living in the Anglian Water region, as well as how that change will be measured.</t>
  </si>
  <si>
    <t>Projects must primarily nurture, repair, protect or sustain our natural water environment. This covers all natural and managed water systems and the ecosystems connected to them, including the sea.</t>
  </si>
  <si>
    <t>info@cambscf.org.uk</t>
  </si>
  <si>
    <t>Apply online: https://www.cambscf.org.uk/funds/thriving-communities/</t>
  </si>
  <si>
    <t>Examples can be found online: https://www.cambscf.org.uk/funds/thriving-communities/</t>
  </si>
  <si>
    <t>Cambridgeshire</t>
  </si>
  <si>
    <t>Varies by fund, up to £100,000</t>
  </si>
  <si>
    <t xml:space="preserve">Changes between fund opportunity </t>
  </si>
  <si>
    <t>See website for further conditions: https://www.cambscf.org.uk/applying/#open-and-specific-fund-applications</t>
  </si>
  <si>
    <t>Apply online: https://www.cambscf.org.uk/applying/#open-and-specific-fund-applications</t>
  </si>
  <si>
    <t>Ongoing, dependent on funding</t>
  </si>
  <si>
    <t>https://www.cambscf.org.uk/applying/#open-and-specific-fund-applications
Search for funding: https://www.cambscf.org.uk/funds/?gt=any&amp;am=any&amp;ea=any&amp;sc=environment&amp;dl=any</t>
  </si>
  <si>
    <t xml:space="preserve">Water Witness’s Fair Water Action Fund provides grants of between £3,000 and £36,000 GBP, alongside technical and legal support, to organisations in the Global South working for water justice.  
Open to civil society, media, and research bodies, the Fair Water Action Fund supports
-accountability monitoring
-amplification of citizens’ voices
-research and investigative journalism on water issues
-evidence-based advocacy for systems change
We will consider applications that work towards water and sanitation for all. </t>
  </si>
  <si>
    <t xml:space="preserve">We are looking for initiatives that: 
-Ensure improved water security for communities and ecosystems through equitable and sustainable access to safe water, and/or reduce risks from droughts, floods, pollution, and water conflicts. 
-Drive systemic change and strengthen water security through policy reforms, enhanced regulatory frameworks, and improved practices among duty bearers such as governments, development partners, and multinational corporations. </t>
  </si>
  <si>
    <t>Eligible entities include Civil Society Organizations (CSOs), media organisations, coalitions/networks engaged in water security activities, water and environmental investigative journalists, and researchers/research institutes operating in the Global South. Our first round of funding will prioritise applications from Africa.</t>
  </si>
  <si>
    <t>Global south</t>
  </si>
  <si>
    <t>£3,000 - £36,000</t>
  </si>
  <si>
    <t>actionfund@waterwitness.org.uk</t>
  </si>
  <si>
    <t>Apply online: https://waterwitness.org/fair-water-action-fund</t>
  </si>
  <si>
    <t>31st July 2025</t>
  </si>
  <si>
    <t>See website for further information: https://waterwitness.org/fair-water-action-fund</t>
  </si>
  <si>
    <t xml:space="preserve">Depends on funding source </t>
  </si>
  <si>
    <t>See application guidelines: https://waterloofoundation.org.uk/environmentapplications/</t>
  </si>
  <si>
    <t>Generally £100,000-£150,000</t>
  </si>
  <si>
    <t>applications@waterloofoundation.org.uk</t>
  </si>
  <si>
    <t>Under our Marine programme, we support initiatives that work to halt and restore declining fish stocks by:
-Stopping destructive and illegal fishing.
-Supporting sustainable and small-scale fisheries.
Preference will be given to initiatives working to influence fisheries policy, projects that halt the decline of fish stocks that communities in the Global South rely on, and those working to bring about sustainable fisheries in Wales.
We predominantly support strategic initiatives, but also consider practical local projects. The protection of mangroves and seagrasses to benefit local fisheries is also a component of our Marine Programme.</t>
  </si>
  <si>
    <t>Apply online: https://waterloofoundation.org.uk/environmentapplications/</t>
  </si>
  <si>
    <t>Ongoing each March and September</t>
  </si>
  <si>
    <t>See website: https://waterloofoundation.org.uk/environmentapplications/</t>
  </si>
  <si>
    <t>Global, with connection to UK</t>
  </si>
  <si>
    <t>Global</t>
  </si>
  <si>
    <t>Depends on funding source</t>
  </si>
  <si>
    <t>https://wellcome.org/about-us/contact-us</t>
  </si>
  <si>
    <t>Apply online through portal: https://wellcome.org/research-funding/schemes</t>
  </si>
  <si>
    <t>See website: https://wellcome.org/research-funding/schemes</t>
  </si>
  <si>
    <t>The Rewilding Innovation Fund aims to remove barriers to rewilding across Britain. Whether your site or project is in the early planning stages or looking to try out a new approach, you can apply to this fund.
From business plans to feasibility studies, community engagement to trialling the latest technology, Rewilding Britain funds works that could potentially unlock further funding for you or move you up the rewilding scale.
We choose the projects we consider will have the highest impact on people and nature, on land and sea, with opportunities for shared learning with the Rewilding Network.
Projects have two opportunities to apply for funding through the Rewilding Innovation Fund each year, in the new year and summer.</t>
  </si>
  <si>
    <t>Britain</t>
  </si>
  <si>
    <t xml:space="preserve">To apply for funding projects must be:
based in Britain (England, Wales and Scotland)
cover at least 40 hectares of contiguous land or have a marine rewilding project of any size
part of the Rewilding Network (you may join at the point of application)
rewilding (or about to) at scale – potentially as a group of landowners or project partners – and to our rewilding principles
</t>
  </si>
  <si>
    <t>https://www.rewildingbritain.org.uk/how-to-rewild/funding-for-rewilding/rewilding-innovation-fund</t>
  </si>
  <si>
    <t>Apply online through portal: https://www.rewildingbritain.org.uk/how-to-rewild/funding-for-rewilding/rewilding-innovation-fund</t>
  </si>
  <si>
    <t>Twice a year, summer and winter time</t>
  </si>
  <si>
    <t>See website: https://www.rewildingbritain.org.uk/how-to-rewild/funding-for-rewilding/rewilding-innovation-fund</t>
  </si>
  <si>
    <t>The Rewilding Challenge Fund is a major fund of up to £100,000 per year, awarded by Rewilding Britain to the rewilding project that shows the maximum potential to work with others to scale up rewilding our land and seas.</t>
  </si>
  <si>
    <t>Charities
Community Groups
Not-for-profit
NGOs
Landowners</t>
  </si>
  <si>
    <t>To apply, your project must be:
Based in Britain (England, Wales or Scotland)
Part of/​eligible to join our Rewilding Network
At least 1,000ha/10 km² in size (the majority of which is contiguous and proposed for rewilding)</t>
  </si>
  <si>
    <t>Apply online through portal: https://www.rewildingbritain.org.uk/how-to-rewild/funding-for-rewilding/rewilding-challenge-fund</t>
  </si>
  <si>
    <t>network@rewildingbritain.org.uk</t>
  </si>
  <si>
    <t xml:space="preserve">Stage 1 expression of interest open in 2026, shortlist will be invited to apply </t>
  </si>
  <si>
    <t>See website: https://www.rewildingbritain.org.uk/how-to-rewild/funding-for-rewilding/rewilding-challenge-fund</t>
  </si>
  <si>
    <t>Charities
Local Authorities
Community Groups
Not-for-profit
NGOs</t>
  </si>
  <si>
    <t>The Green Roots programme aims to help nature thrive in the city by giving London communities active ways to transform their local spaces.
It focuses on making the environment better for all Londoners, while addressing issues such as inequality, biodiversity loss and climate resilience.
The Green Roots Fund is one part of the programme. Through it, we're funding projects in London that improve its:
- green spaces – including parks, trees and community gardens.
- blue spaces – including wetlands, rivers and sustainable drainage.</t>
  </si>
  <si>
    <t>Greater London</t>
  </si>
  <si>
    <t>£10,000 - £50,000</t>
  </si>
  <si>
    <t>See prospectus for eligibility: https://www.london.gov.uk/programmes-strategies/environment-and-climate-change/parks-green-spaces-and-biodiversity/green-space-funding/green-roots-fund/green-roots-fund-prospectus#who-can-apply-239998-title</t>
  </si>
  <si>
    <t>See prospectus for conditions: https://www.london.gov.uk/programmes-strategies/environment-and-climate-change/parks-green-spaces-and-biodiversity/green-space-funding/green-roots-fund/green-roots-fund-prospectus#who-can-apply-239998-title</t>
  </si>
  <si>
    <t>Apply online: https://glagrants.my.site.com/s/fundingopportunity/119Sq000000t9M1IAI/green-roots-round-2</t>
  </si>
  <si>
    <t>Further rounds are expected in: 
Summer 2026, with decision in Autumn 2026.
Winter 2026, with decision in Spring 2027.
Summer 2027, with decision in Autumn 2027.</t>
  </si>
  <si>
    <t>See website: https://www.london.gov.uk/programmes-strategies/environment-and-climate-change/parks-green-spaces-and-biodiversity/green-space-funding/green-roots-fund/green-roots-fund-prospectus#key-dates-and-timelines-240185-title</t>
  </si>
  <si>
    <t>Case study website: https://www.london.gov.uk/programmes-strategies/environment-and-climate-change/parks-green-spaces-and-biodiversity/green-space-funding/green-roots-fund/green-roots-projects-and-case-studies</t>
  </si>
  <si>
    <t>GreenRoots@london.gov.uk</t>
  </si>
  <si>
    <t>Funding finder for grants and funds from a wide range of local and national sources.</t>
  </si>
  <si>
    <t>Bath &amp; North Somerset</t>
  </si>
  <si>
    <t>Varies on funding/grant</t>
  </si>
  <si>
    <t>council_connect@bathnes.gov.uk</t>
  </si>
  <si>
    <t>CSHT pays farmers and land managers to manage land in a way that:
-protects, restores or enhances the environment
-mitigates the effects of climate change</t>
  </si>
  <si>
    <t>Landowners
Industry (e.g. agriculture)</t>
  </si>
  <si>
    <t>See website for conditions: https://www.gov.uk/government/publications/countryside-stewardship-higher-tier-csht/csht-applicants-guide#how-to-apply-online</t>
  </si>
  <si>
    <t>https://www.gov.uk/government/publications/countryside-stewardship-higher-tier-csht/csht-applicants-guide#how-to-apply-online</t>
  </si>
  <si>
    <t>The Evenlode Catchment Partnership has set up a scheme to help farmers, landowners and communities within the Evenlode catchment to create wetland habitat on their holdings to improve water quality, create habitat for wildlife, reduce flood risks and provide opportunities for education and recreation.</t>
  </si>
  <si>
    <t>Oxfordshire</t>
  </si>
  <si>
    <t>The ECP works across four key themes which have strong links to wetland ecosystem services. Your wetland must deliver against some or all of the scheme themes, which comprise:
-Create habitat for wildlife 
-Reduce flood risk 
-Improve opportunities for education
-Access or recreation in the community</t>
  </si>
  <si>
    <t>Up to £20,000</t>
  </si>
  <si>
    <t>See handbook: https://evenlodecatchment.org.uk/wp-content/uploads/2025/10/Evenlode-wetland-creation-scheme-handbook-25-27.pdf</t>
  </si>
  <si>
    <t>ann@wildoxfordshire.org.uk
tom@cotswoldfarmers.org</t>
  </si>
  <si>
    <t>Contact Ann / Tom for initial consultation, they will provide guidance on the rest of the application process. See details in handbook: https://evenlodecatchment.org.uk/wp-content/uploads/2025/10/Evenlode-wetland-creation-scheme-handbook-25-27.pdf</t>
  </si>
  <si>
    <t>See handbook: https://evenlodecatchment.org.uk/wp-content/uploads/2025/10/Evenlode-wetland-creation-scheme-handbook-25-27.pdf
See website: https://evenlodecatchment.org.uk/get-involved/wcgs/</t>
  </si>
  <si>
    <t>Each year, we dedicate £75,000 to support not-for-profit organisations and community groups working on initiatives that benefit local communities and promote water-saving practices. Whether your project is large or small, if it helps conserve water and enriches your community, we’d love to hear from you.</t>
  </si>
  <si>
    <t>We welcome applications from anyone in our service area who’s passionate about saving water. If you're applying for more than £1,000, you’ll need to be:
A school, college, or academy
A registered charity or not-for-profit
A constituted club or group
A Community Interest Company (CIC)
For smaller grants (£1,000 or under), you can also apply if you’re:
A local community group—such as a scout troop, garden club, cricket team, or allotment</t>
  </si>
  <si>
    <t>We’re here to help bring your project to life. You can use the funding for things like:
Buying or hiring equipment
Materials for building or landscaping
Training sessions or workshops
Paying staff who are hands-on with the project
Hiring professionals like builders or design consultants</t>
  </si>
  <si>
    <t>Areas supplied by South West Water</t>
  </si>
  <si>
    <t>wscf@southwestwater.co.uk</t>
  </si>
  <si>
    <t>Apply online: https://www.southwestwater.co.uk/household/your-services/save-water/water-saving-community-fund</t>
  </si>
  <si>
    <t>Case studies online: https://www.southwestwater.co.uk/household/your-services/save-water/water-saving-community-fund</t>
  </si>
  <si>
    <t>We have now opened our next round of Better Futures funding which will remain open until December 2026. South West Water are part of the Pennon Group alongside Bristol Water, SES Water and Bournemouth Water.   Our customers are at the heart of everything we do. We believe in supporting projects and charities in the places where we live and work, helping to build stronger communities. To provide more support to our communities, the Pennon Group have launched the £5m Better Futures Fund. The fund includes £2.5m for community groups involved with physical activity, education, health and wellbeing, and positive environmental impacts.   For South West Water customers, the fund will provide £850,000 over five years for community funding. The remaining £2.5m will go towards alleviating hardship, in addition to the £200m programme to help customers who are vulnerable or struggling financially across the Pennon family.  Better Futures will help to unlock opportunities and bring positive change to the communities we serve.</t>
  </si>
  <si>
    <t>See website: https://app.actionfunder.org/fund/849
https://www.southwestwater.co.uk/our-south-west/community/better-futures-fund</t>
  </si>
  <si>
    <t>https://www.southwestwater.co.uk/our-south-west/community/better-futures-fund</t>
  </si>
  <si>
    <t>Apply online: https://app.actionfunder.org/fund/849</t>
  </si>
  <si>
    <t>Ongoing until end of 2026</t>
  </si>
  <si>
    <t>Case studies online: https://www.southwestwater.co.uk/our-south-west/community/better-futures-fund</t>
  </si>
  <si>
    <t>Water-Saving Community Fund - Bristol Water</t>
  </si>
  <si>
    <t>To apply for a share of the community funding, your project needs to help save water and benefit your community.
This could involve one or more of the following:
Installing rainwater harvesting systems
Creating drought-tolerant gardens
Inspiring water-wise habits through education</t>
  </si>
  <si>
    <t>Areas supplied by Bristol Water</t>
  </si>
  <si>
    <t>wscf@bristolwater.co.uk</t>
  </si>
  <si>
    <t>Apply online: https://www.bristolwater.co.uk/wscf-application-page</t>
  </si>
  <si>
    <t>Case studies online: https://www.bristolwater.co.uk/water-saving-community-fund</t>
  </si>
  <si>
    <t>Annual. Next round to open April 2026</t>
  </si>
  <si>
    <t>We fund improvements to natural habitats and our vision is for a healthy environment where native species can thrive.</t>
  </si>
  <si>
    <t xml:space="preserve">Charities
Community Groups
Not-for-profit
NGOs
</t>
  </si>
  <si>
    <t>We will consider funding: 
a project which will take place on a single site – located within 10 miles of an eligible landfill site in England
a project resulting in structural improvements to a single site e.g. woodland, nature reserve, waterway or purchase of land for nature conservation
all permissions (e.g. Environment Agency) in place at the time of application
the named applicant organisation is the landowner (we will ask for evidence of ownership
or
the named Applicant Organisation holds a valid lease with the landowner, with at least seven years of the term remaining (Please note: There should be no shared director/trustee between both the ‘Applicant Organisation’ and the ‘Landowner’)
or
The named Applicant Organisation is working in partnership with the landowner who is a Local Authority (see details below*)</t>
  </si>
  <si>
    <t>£10,000 - £75,000</t>
  </si>
  <si>
    <t>See website: https://www.veoliatrust.org/funding-criteria/habitat-and-biodiversity-grant-funding-criteria/</t>
  </si>
  <si>
    <t>UK.Trust@veolia.com</t>
  </si>
  <si>
    <t>Apply online: https://www.veoliatrust.org/apply-for-funding/</t>
  </si>
  <si>
    <t>Three rounds across 2026 (https://www.veoliatrust.org/when-to-apply/)</t>
  </si>
  <si>
    <t>See online: https://www.veoliatrust.org/funding/</t>
  </si>
  <si>
    <t>Our Stobart Sustainability fund is aimed at supporting community-led sustainability projects and initiatives lead by non-profit organisations, community groups and educational facilities, such as schools and colleges, to help them transform their local community through projects that tackle climate change, reduce carbon emissions or that protect and enhance the environment.</t>
  </si>
  <si>
    <t>We welcome application to the Stobart Sustainability Fund from community groups, educational facilities or small businesses. Applications need to be of a green, ecological or sustainability nature with the project benefiting the environment.</t>
  </si>
  <si>
    <t>See website: https://eddiestobart.com/the-stobart-sustainability-fund/#enquires</t>
  </si>
  <si>
    <t>Apply online: https://eddiestobart.com/the-stobart-sustainability-fund/#enquires</t>
  </si>
  <si>
    <t>See online: https://eddiestobart.com/the-stobart-sustainability-fund/#enquires</t>
  </si>
  <si>
    <t xml:space="preserve">
The grant aims to protect and enhance biodiversity through allocating funding to projects which will deliver environmental improvements and initiatives that create green spaces, improve biodiversity or help ecosystems in Herefordshire.</t>
  </si>
  <si>
    <t xml:space="preserve">Charities
Community Groups
Not-for-profit
NGOs
Landowners
</t>
  </si>
  <si>
    <t>Herefordshire</t>
  </si>
  <si>
    <t>£5,000 - £35,000</t>
  </si>
  <si>
    <t>Applicants must be a formally constituted non-profit business or organisation based in Herefordshire, such as a registered charity, community interest company or a relevant parish council.
Applications from informal community groups and local organisations are also encouraged providing they partner with an eligible non-profit organisation or business. The lead applicant must be the non-profit organisation and as such will be required to demonstrate an appropriate level of involvement in the project.</t>
  </si>
  <si>
    <t>Outcomes to be achieved through the grant scheme are:
Contribute to improving an identified high priority habitat (wetland, traditional orchards, woodland, open habitat, for example meadows – for more details refer to the Herefordshire Local Nature Recovery Strategy Herefordshire Local Nature Recovery Strategy (LNRS)
Benefit local wildlife, especially protected species, such as hedgehogs, swifts, owls, bats, newts, butterflies, otters
Help to sustain distinctive landscapes
Improve public access to nature
Provide a range of natural environment volunteering or learning opportunities
Help an existing biodiversity project adapt to climate change
Include use of sustainable materials, recycled and / or locally sourced materials
Enhance native species planting or plants with climate adaptability</t>
  </si>
  <si>
    <t>biodiversity@fccenvironment.co.uk</t>
  </si>
  <si>
    <t>Email biodiversity@fccenvironment.co.uk</t>
  </si>
  <si>
    <t>13th October 2025</t>
  </si>
  <si>
    <t>See online: https://www.herefordshire.gov.uk/directories/grants/nature-and-biodiversity-community-grant-scheme/</t>
  </si>
  <si>
    <t xml:space="preserve">Just like the Sustainable Community Locality Fund, this fund provides each District Councillor with a budget to enable them to support a wide range of projects to help us tackle our Climate and Ecological Emergency Declarations. The project should meet one of the objectives in the South Hams Climate Change and Biodiversity Strategy. These are:
Reducing carbon emissions from households, businesses or organisations, including community and voluntary groups
Supporting behaviour change and sustainable living 
Projects which will result in removal of carbon from the atmosphere through nature-based solutions or supporting improvements in biodiversity 
Providing education and awareness of the Climate and Ecological emergency through direct engagement with hard to reach groups and individuals
Projects which aim to help communities and species adapt to the effects of Climate Change 
Projects to help reduce organisational carbon footprints </t>
  </si>
  <si>
    <t>South Hams Council area</t>
  </si>
  <si>
    <t>Unclear</t>
  </si>
  <si>
    <t>https://www.southhams.gov.uk/node/1475</t>
  </si>
  <si>
    <t>Apply online: https://swd-host01.swdevon.gov.uk/w/webpage/1212EBFDD1?webpage_token=d58dc88cb190f6a946daed1d348f703a0e7c6e906b914d42049b3be047a396d4&amp;expiry=AHeWtIN0iDwCQqDxJQ1X8wmk&amp;auth=NDliYWZhODU5Y2Y4&amp;id=22222237</t>
  </si>
  <si>
    <t>See website: https://www.southhams.gov.uk/communities/community-grants-and-funding/climate-change-and-biodiversity-locality-fund#lgd-guides__title</t>
  </si>
  <si>
    <t>We believe that to advance wellbeing we need to support charitable organisations that at their core are committed to ensuring the rights of people, society and the natural world for current and future generations.
Tackling the triple planetary crisis by mitigating and adapting to climate impacts, reducing pollution and protecting and restoring nature.</t>
  </si>
  <si>
    <t>See website: https://ellerman.org.uk/apply-for-funding/am-i-eligible</t>
  </si>
  <si>
    <t>See website: https://ellerman.org.uk/apply-for-funding/who-can-apply</t>
  </si>
  <si>
    <t>beth@ellerman.org.uk
Stephanie@ellerman.org.uk</t>
  </si>
  <si>
    <t>Apply online: https://ellerman.org.uk/apply-for-funding/how-to-apply</t>
  </si>
  <si>
    <t>See website: https://ellerman.org.uk/apply-for-funding</t>
  </si>
  <si>
    <t>See website: https://ellerman.org.uk/what-weve-funded/case-studies</t>
  </si>
  <si>
    <t>The main aim of the grant scheme is to enhance the habitat network surrounding Portsmouth Water land to create Biological corridors. The fund will cover:
Biodiversity and habitat improvements e.g. re coppicing woodland, wetland creation.
Invasive non-native species control e.g. Himalayan Balsam control to reduce bank erosion
Species and habitat survey projects e.g. invertebrate survey of grassland
Equipment to carry out knowledge enhancement</t>
  </si>
  <si>
    <t>Portsmouth</t>
  </si>
  <si>
    <t>£1,000 - £10,000</t>
  </si>
  <si>
    <t>Constituted not for profit conservation groups with an
associated bank account into which funds can be transferred.
• Local Authority Countryside Departments including South
Downs National Park</t>
  </si>
  <si>
    <t>See funding handbook for further information: https://www.cleanwaterpartnership.co.uk/_files/ugd/b9588f_fbce9c3e8c5941648b541f3aaad56d8f.pdf</t>
  </si>
  <si>
    <t>See website: https://www.cleanwaterpartnership.co.uk/about-1-1</t>
  </si>
  <si>
    <t>Apply online: https://www.cleanwaterpartnership.co.uk/about-1-1</t>
  </si>
  <si>
    <t>Open Spring 2026</t>
  </si>
  <si>
    <t>See website/handbook: https://www.cleanwaterpartnership.co.uk/about-1-1
https://www.cleanwaterpartnership.co.uk/_files/ugd/b9588f_fbce9c3e8c5941648b541f3aaad56d8f.pdf</t>
  </si>
  <si>
    <t>Action’s aim
This action’s aim is that there’s an intact grass sward throughout the year, with:
-a medium sward height during the winter months
-minimal bare ground
-reduced level of nutrient inputs applied
The purpose of this is to:
-reduce nutrient inputs to grassland in priority Water Framework Directive (WFD) groundwater failure areas
-help slow or reverse nutrient levels in groundwater</t>
  </si>
  <si>
    <t>£396 / ha</t>
  </si>
  <si>
    <t>See website: https://www.gov.uk/find-funding-for-land-or-farms/wbd8-manage-grassland-to-reduce-nutrient-levels-in-groundwater#full-publication-update-history</t>
  </si>
  <si>
    <t>Currently closed, periodically re-opens 
https://www.gov.uk/government/publications/sustainable-farming-incentive-scheme-expanded-offer-for-2024#full-publication-update-history</t>
  </si>
  <si>
    <t>Apply online: https://www.gov.uk/find-funding-for-land-or-farms/wbd8-manage-grassland-to-reduce-nutrient-levels-in-groundwater#full-publication-update-history</t>
  </si>
  <si>
    <t>Herbicide route: https://www.thameswater.co.uk/media-library/q4afy3rr/catchment-fund-handbook-herbicides.pdf
Nitrate route: https://www.thameswater.co.uk/media-library/zgbjvtny/catchment-fund-handbook-nitrates.pdf</t>
  </si>
  <si>
    <t>The Local Authority Waters Programme (LAWPRO) works on behalf of Ireland’s 31 Local
Authorities to protect and restore water quality in our rivers, lakes, estuaries, ground and
coastal waters, through catchment science and community engagement. LAWPRO was
established to fulfil requirements under the European Union Water Framework Directive and is
funded by the Department of Housing, Local Government and Heritage. LAWPRO coordinates the
efforts of local authorities and other public bodies in the implementation of the Water Action Plan
2024: A River Basin Management Plan for Ireland 2022-2027.</t>
  </si>
  <si>
    <t>Ireland</t>
  </si>
  <si>
    <t>See guidelines: https://consult.watersandcommunities.ie/sites/default/files/uploads/webform/91/LAWPRO%20Catchment%20Support%20Fund%202026_Guidelines_Final_6.pdf</t>
  </si>
  <si>
    <t>See website: https://consult.watersandcommunities.ie/en/content/lawpro-catchment-support-fund-2026</t>
  </si>
  <si>
    <t>Link to application on website: https://consult.watersandcommunities.ie/en/content/lawpro-catchment-support-fund-2026</t>
  </si>
  <si>
    <t>See guidelines for examples: https://consult.watersandcommunities.ie/sites/default/files/uploads/webform/91/LAWPRO%20Catchment%20Support%20Fund%202026_Guidelines_Final_6.pdf</t>
  </si>
  <si>
    <t xml:space="preserve">River Chess Smart Water Catchment: Landowner Grants Scheme </t>
  </si>
  <si>
    <t>The grant scheme is available to landowners, land managers and farmers looking to undertake projects that contribute to the following themes of the SWC River Chess Catchment Plan:
• Improving Water Quality
• Managing Flow
• Improving Wildlife Corridors
• Controlling Invasive Non-Native Species
• Involving People
• Working Together</t>
  </si>
  <si>
    <t>River Chess catchment</t>
  </si>
  <si>
    <t>£100,000 total between all projects</t>
  </si>
  <si>
    <t>See guidance document: https://chesssmarterwatercatchment.org/wp-content/uploads/sites/7/2024/06/River-Chess-Landowner-and-Farmer-Grants-Scheme-Guidance-v4.pdf</t>
  </si>
  <si>
    <t>stephhorn@chilterns.org.uk
hbennett@chilterns.org.uk</t>
  </si>
  <si>
    <t>Apply online: https://chesssmarterwatercatchment.org/about-the-project/grants-and-funding-opportunities/</t>
  </si>
  <si>
    <t>See website: https://chesssmarterwatercatchment.org/about-the-project/grants-and-funding-opportunities/</t>
  </si>
  <si>
    <t>The Farming with Nature Transition Scheme aims to increase the extent of habitats on farmed land across Northern Ireland. The actions available will create new habitats, provide new green infrastructure, protect watercourses and contribute to carbon sequestration on farms.</t>
  </si>
  <si>
    <t>Northern Ireland</t>
  </si>
  <si>
    <t>See website: https://www.daera-ni.gov.uk/articles/farming-nature-transition-scheme</t>
  </si>
  <si>
    <t xml:space="preserve">See website: https://www.daera-ni.gov.uk/articles/farming-nature-transition-scheme </t>
  </si>
  <si>
    <t>FarmingwithNature@daera-ni.gov.uk</t>
  </si>
  <si>
    <t>Apply online, there are multiple different actions you can carry out, including planting riparian buffer strips along rivers: 
https://www.daera-ni.gov.uk/articles/how-do-i-carry-out-fwnt-scheme-actions
https://www.daera-ni.gov.uk/articles/farming-nature-transition-scheme</t>
  </si>
  <si>
    <t>England's Community Forests: Trees for Climate</t>
  </si>
  <si>
    <t>The programme is part of the national Government-led Nature for Climate fund and is being delivered by England’s Community Forests, a partnership of organisations with years of experience helping landowners to plan, deliver and manage woodland creation schemes across the country.
As an expert advisor, delivery partner and funder in one local organisation, your Community Forest is there to help landowners, farmers and their agents you enhance your land and business through woodland creation.
The Trees for Climate programme is providing social, economic and environmental transformation across the country. Every landowner that works with us is playing their part to help address climate change, whilst also improving the environment and local area for communities to benefit from for years to come.</t>
  </si>
  <si>
    <t>See website: https://englandscommunityforests.org.uk/landowners/working-with-englands-community-forests/
https://englandscommunityforests.org.uk/trees-for-climate/</t>
  </si>
  <si>
    <t>https://englandscommunityforests.org.uk/contact-us/?_gl=1*nbaahx*_ga*OTQ3MzEzMzI3LjE3NzAwMzMyODk.*_ga_KMYTZNFN2P*czE3NzAwMzMyODkkbzEkZzEkdDE3NzAwMzM5MTUkajYwJGwwJGgw</t>
  </si>
  <si>
    <t>Across England, see map on website for further detail: https://englandscommunityforests.org.uk/landowners/</t>
  </si>
  <si>
    <t>The Northern Forest: Financial Support</t>
  </si>
  <si>
    <t>Through the Northern Forest partnership, we can provide generous grants and tailored advice and support for your woodland creation project. Our grants are flexible, and we can support projects in both urban and rural areas. Whether you have a small site or several hectares that you'd like to plant, or want to allow your site to develop naturally where possible, we will provide a dedicated Woodland Advisor to support you throughout the planning, funding and planting process. We can also:
-fund specialist surveys to inform your planned woodland
-help with the design to make sure you get the most out of your woodland
-provide advice on tree species selection, supply and planting options
-help with all the paperwork, especially regulation, to make the process as simple as possible for you.</t>
  </si>
  <si>
    <t>Areas across north England, see map: https://thenorthernforest.org.uk/location/</t>
  </si>
  <si>
    <t>Enquire for further information</t>
  </si>
  <si>
    <t>NorthernForest@woodlandtrust.org.uk
https://englandscommunityforests.org.uk/contact-us/</t>
  </si>
  <si>
    <t>Agriculture, Environment and Rural Affairs: Farming with Nature Transition Scheme</t>
  </si>
  <si>
    <t>As a risk management authority (RMA) you may be eligible for grant-in-aid (GIA) funding for your FCERM project.
An FCERM project may be:
-a scheme to reduce flood or coastal erosion risk
-a study to investigate options for a scheme
-a study leading to a strategy or management plan
-a study to investigate the environmental impacts of works
-work to prepare a strategy</t>
  </si>
  <si>
    <t>See website: https://www.gov.uk/guidance/flood-and-coastal-erosion-risk-management-projects-and-funding</t>
  </si>
  <si>
    <t>enquiries@environment-agency.gov.uk</t>
  </si>
  <si>
    <t>Apply online, there are different types of funding you can apply for: https://www.gov.uk/guidance/flood-and-coastal-erosion-risk-management-projects-and-funding</t>
  </si>
  <si>
    <t>Environment Agency: Flood and coastal erosion risk management projects and funding</t>
  </si>
  <si>
    <t>The continuation of this programme aims to accelerate our delivery of natural flood management interventions to reduce risks associated with flooding or coastal erosion and supports our ambition to manage flood risk at catchment scale. Outputs from this programme will also support in the delivery of the Sustainable Farming Scheme, which will provide farmers optional and collaborative opportunities to deliver NFM.</t>
  </si>
  <si>
    <t>Varies by project, up to £300,000</t>
  </si>
  <si>
    <t>See website: https://www.gov.wales/natural-flood-management-guidance-undertake-natural-flood-management-works-html</t>
  </si>
  <si>
    <t>FloodCoastalRisk@gov.wales</t>
  </si>
  <si>
    <t>Applications for the NFM Fund should be submitted using the form via RPW online for schemes up to the value of £300,000. Schemes over £300,000 may still be eligible where they are expected to bring greater benefits but please contact Welsh Government FCERM branch first to discuss further whether these could be classed as exceptions.
https://www.gov.wales/natural-flood-management-guidance-undertake-natural-flood-management-works-html</t>
  </si>
  <si>
    <t>Welsh Government: Sustainable Farming Scheme 2026</t>
  </si>
  <si>
    <t>What you’re reading, our Sustainable Farming Scheme, supports farmers in Wales to produce world class, high-quality, food whilst caring for the environment, tackling and adapting to climate change and building resilience for those who will work and care for this precious land in the years to come. 
Our ambition is to see a thriving and confident agriculture sector in Wales, that is built around innovation and growth, to rise to the challenges we face and make most of the opportunities available.</t>
  </si>
  <si>
    <t>See website: https://www.gov.wales/sustainable-farming-scheme-2026-scheme-description-html</t>
  </si>
  <si>
    <t>https://www.gov.wales/contact-us</t>
  </si>
  <si>
    <t>Apply online: https://www.gov.wales/sustainable-farming-scheme-2026-scheme-description-html</t>
  </si>
  <si>
    <t>Herefordshire Council: Natural Flood Management (NFM) construction grant scheme</t>
  </si>
  <si>
    <t>Eye on Calderdale: Natural Flood Management Grant Scheme</t>
  </si>
  <si>
    <t>The Scheme is managed by Calderdale Council and supported and funded by the Environment Agency. It is unique to Calderdale and was developed with local partners to help build Calderdale’s resilience to flooding.
To date, 52 natural flood management projects have been funded through the NFM Grant Scheme. Examples of these works include:
-Attenuation basins - dry ponds that fill when it rains temporarily holding back water
-Leaky dams - natural materials that are placed in streams or gullies to slow the flow of water
-Tree planting – trees help to slow down water flowing overland and increase the amount of water soaking into the ground
-Hedgerows across slopes - like trees, hedgerows slow down water that is flowing across the land
Support with projects is available from Calderdale Council’s Natural Flood Management Team. Funding to pay an external contractor to manage the project and assistance with applying for the grant scheme is also offered.</t>
  </si>
  <si>
    <t>See website: https://eyeoncalderdale.com/nfm-technical-guidance/</t>
  </si>
  <si>
    <t>NFM@Calderdale.gov.uk</t>
  </si>
  <si>
    <t>Apply online: https://eyeoncalderdale.com/landowner-grant-scheme/</t>
  </si>
  <si>
    <t>Currently closed (Feb 2026)</t>
  </si>
  <si>
    <t>https://eyeoncalderdale.com/nfm-technical-guidance/</t>
  </si>
  <si>
    <t>See online: https://eyeoncalderdale.com/real-world-examples-of-flood-resilience-2/</t>
  </si>
  <si>
    <t>Gloucestershire County Council: Natural Flood Management Grant Scheme</t>
  </si>
  <si>
    <t xml:space="preserve">Enhancing our river catchments to become fit for the future requires us to work in partnership. This includes working closely with farmers, landowners, land managers and local communities.
The Gloucestershire Natural Flood Management Partnership is able to fund Natural Flood Management projects through the Gloucestershire Natural Flood Management Grant Scheme. These grants are open to any organisation, landowner or land manager, with a Natural Flood Management project which meets the criteria set out below. </t>
  </si>
  <si>
    <t>Gloucestershire County Council area</t>
  </si>
  <si>
    <t>£1,000 - £15,000</t>
  </si>
  <si>
    <t>See guidance document: https://www.gloucestershire.gov.uk/media/te0nrmxe/gloucestershire-nfm-principles-of-good-nfm-delivery_project-checklist-may-2025.pdf</t>
  </si>
  <si>
    <t>pete.belk@gloucestershire.gov.uk</t>
  </si>
  <si>
    <t>Apply online: https://forms.gloucestershire.gov.uk/GloucestershireNFMGrant</t>
  </si>
  <si>
    <t>See website: https://www.gloucestershire.gov.uk/planning-and-environment/flood-risk-management/flooding-information/natural-flood-management/funding-for-nfm-in-gloucestershire/</t>
  </si>
  <si>
    <t>GOV UK: Flood and coastal erosion risk management projects and funding</t>
  </si>
  <si>
    <t>This information is for RMAs if you’re developing a flood and coastal erosion risk management (FCERM) project.
An FCERM project may be:
-a scheme to reduce flood or coastal erosion risk
-a study to investigate options for a scheme
-a study leading to a strategy or management plan
-a study to investigate the environmental impacts of works
-work to prepare a strategy
The National Flood and Coastal Erosion Risk Management Strategy for England sets out the overall approach for delivering flooding and coastal risk management in England. As an RMA you must act consistently with the strategy.
The Flood and Water Management Act provides comprehensive management of flood risk for people, homes and businesses. It helps safeguard community groups from unaffordable rises in surface water drainage charges. It also protects water supplies to the consumer.</t>
  </si>
  <si>
    <t>admin_FCERMprojectsupport@environment-agency.gov.uk
enquiries@environment-agency.gov.uk</t>
  </si>
  <si>
    <t>Apply online: https://www.gov.uk/guidance/flood-and-coastal-erosion-risk-management-projects-and-funding</t>
  </si>
  <si>
    <t>William Grant Foundation</t>
  </si>
  <si>
    <t>We are outward-looking and engage with wider networks and initiatives in our fields of interest. This helps us learn, find opportunities for collaboration, and identify ways of making an effective contribution.
Our over-arching theory of change helps us focus on where we believe we add value – and to be thoughtful about the nature of our contribution rather than overstating our influence. 
We tend to invest in organisations rather than fund projects, and aim to fund regeneratively – to help them become more resilient and effective as a result of our support.
Often, our funding will be unrestricted – enabling the recipient to decide how it can best be used to further their mission or strengthen their organisation. If we fund a specific project or cost, it will have been identified through dialogue about their needs and priorities.
We also aim to add value to our funding relationships, over and above the financial value of our grants.</t>
  </si>
  <si>
    <t>We find most of the organisations we fund through research or by referral from our networks and we spend time getting to know potential partners before deciding if we will work together.
Although we don’t make open calls for applications we often work with other funders who do, to learn about the field or to extend our reach by having them distribute funds on our behalf.
We aim to be proactive to address emerging needs or opportunities, make grants in circumstances when other funding can be hard to find, and use our funds creatively to fund the right people at the right time.</t>
  </si>
  <si>
    <t>See website: https://www.williamgrantfoundation.org.uk/our-grant-making/</t>
  </si>
  <si>
    <t>foundation@wgrant.com</t>
  </si>
  <si>
    <t>Contact for further information</t>
  </si>
  <si>
    <t>Groundwork: Grassroots Grants</t>
  </si>
  <si>
    <t>Funding can be used for core organisational costs that support the important work organisations deliver in their communities. The funding offered is unrestricted and therefore flexible and can be used where it is most needed.
The grant programme is possible thanks to funding raised by players of People’s Postcode Lottery and is awarded through Postcode Local Trust, Postcode Places Trust, Postcode Neighbourhood Trust and Postcode Society Trust.</t>
  </si>
  <si>
    <t>Unrestricted grants of between £500 and £2,000 can be accessed by voluntary or community organisations, including registered charities/companies, whose annual turnover is no more than £25,000.
Priority will be shown to organisations which meet the following criteria:
Funding for communities that rank as being within the top 15% on the English Indices of Deprivation
Organisations that work with and support communities classed as marginalised or vulnerable</t>
  </si>
  <si>
    <t>We want to support groups that provide vital services in their local communities. Funding can be used for project ideas within an organisation’s charitable or constituted objects including: access to food or basic essentials, improvements to local green spaces, cultural initiatives, support or wellbeing activities, volunteering opportunities to improve the local environment or support people or training to improve the capacity building of your organisation.
We will consider costs for a range of purposes which could include:
Paying staff or volunteer expenses
Costs for equipment or materials
Core, ongoing running costs of your organisation, such as, rent, utilities, and other general running costs
Training for staff and volunteers
Consultant time to help develop your organisation or key policies</t>
  </si>
  <si>
    <t>grassrootsgrants@groundwork.org.uk</t>
  </si>
  <si>
    <t>Apply online: https://www.groundwork.org.uk/grassroots-grants/</t>
  </si>
  <si>
    <t>See website: https://www.groundwork.org.uk/grassroots-grants/</t>
  </si>
  <si>
    <t>Sea-Changers - Min Grants &amp; Small Grants</t>
  </si>
  <si>
    <t>Sea-Changers gives one-off grants (i.e. not continual funding) to UK-based charities and other organisations (including schools) carrying out marine conservation related activities.</t>
  </si>
  <si>
    <t>Main grants: £500 - £2,500
Small grants - £500</t>
  </si>
  <si>
    <t>See website: https://www.sea-changers.org.uk/how-to-apply</t>
  </si>
  <si>
    <t>info@sea-changers.org.uk</t>
  </si>
  <si>
    <t>Apply online: https://www.sea-changers.org.uk/how-to-apply</t>
  </si>
  <si>
    <t>See website: https://www.sea-changers.org.uk/projects</t>
  </si>
  <si>
    <t>Sea-Changers: Coastal Fountain Fund 2026</t>
  </si>
  <si>
    <t>The fund aims to protect coastal habitats from the harmful effects of single-use plastic water bottles by supporting communities to purchase water refill fountains for busy or environmentally significant coastal areas.</t>
  </si>
  <si>
    <t>See website: https://www.sea-changers.org.uk/coastal-fountain-fund</t>
  </si>
  <si>
    <t>Apply online: https://www.sea-changers.org.uk/coastal-fountain-fund</t>
  </si>
  <si>
    <t>Sea-Changers: Innovation Fund 2026</t>
  </si>
  <si>
    <t>The fund's unique emphasis is on supporting ideas that are new and/or experimental solutions in the field of marine conservation. We welcome applications from all types of organisations, including not-for-profits,  companies and education institutions with an idea or project they believe is a genuinely new and untested solution to the UK's marine conservation challenges.</t>
  </si>
  <si>
    <t>See website: https://www.sea-changers.org.uk/innovation-fund</t>
  </si>
  <si>
    <t>Apply online: https://www.sea-changers.org.uk/innovation-fund</t>
  </si>
  <si>
    <t>See website: https://www.sea-changers.org.uk/post/meet-the-2025-innovation-fund-awardees-and-their-sea-changing-solutions</t>
  </si>
  <si>
    <t>Angling Trust: Fisheries Improvement Programme</t>
  </si>
  <si>
    <t>In the last 5 years the Environment Agency has invested over £5,000,000 of fishing licence income in over 1,000 Fisheries Improvement Programme projects helping to make a real difference for coarse and trout fisheries across England by creating habitats and protecting fisheries from the effects of climate change. Local anglers will benefit from the projects too with some funding going towards the improvement of angling facilities to create more opportunities for people to get fishing.
The Environment Agency has announced that £730,000 is initially available in 2026. We advise you speak to your local EA fisheries officer and to gather costing and quotes for your project as soon as possible. You will need these in place in order to complete an application.</t>
  </si>
  <si>
    <t xml:space="preserve">
Charities
Industry (e.g. agriculture)
Local Authorities
Landowners
Community Groups
Not-for-profit
NGOs</t>
  </si>
  <si>
    <t>See website: https://anglingtrust.net/funding/fisheries-improvement-programme/
See guidance note: https://anglingtrust.net/wp-content/uploads/2025/11/FIP-2026_27-Guidance-for-external-applicants.pdf</t>
  </si>
  <si>
    <t>See website: https://anglingtrust.net/funding/fisheries-improvement-programme/
See guidance note: https://anglingtrust.net/wp-content/uploads/2025/11/FIP-2026_27-Guidance-for-external-applicants.pdf
See application guide: https://anglingtrust.net/wp-content/uploads/2026/02/Helpful-advice-for-completing-the-application-form.pdf</t>
  </si>
  <si>
    <t>aifadmin@anglingtrust.net</t>
  </si>
  <si>
    <t>Awarding grants from £50,000 to £1million, this fund aims to strengthen the resilience of Wales’ network of protected land and marine sites and build organisations’ capacity to accelerate nature’s recovery and engage communities.</t>
  </si>
  <si>
    <t>£50,000 - £1 million</t>
  </si>
  <si>
    <t>See website: https://www.heritagefund.org.uk/funding/nature-networks-fund-round-five</t>
  </si>
  <si>
    <t>Apply online: https://www.heritagefund.org.uk/funding/nature-networks-fund-round-five#heading-5</t>
  </si>
  <si>
    <t>See website: https://www.heritagefund.org.uk/funding/nature-networks-fund-round-five#heading-5</t>
  </si>
  <si>
    <t>GOV UK: Fisheries and Seafood Scheme</t>
  </si>
  <si>
    <t>The FaSS delivers investments to safeguard the long-term sustainability, resilience and prosperity of the seafood sector across England. It provides grants to support the Secretary of State’s key priorities for Defra by funding projects that contribute to:
Creating a sustainable and resilient seafood sector
Reducing emissions and waste from the seafood sector
Cleaning up rivers, lakes and seas and support nature recovery
Boosting regional and economic growth within the seafood sector</t>
  </si>
  <si>
    <t>Water companies
Industry (e.g. agriculture)
NGOs</t>
  </si>
  <si>
    <t>To be eligible for this scheme you must be one of the following:
An individual or business engaged within commercial sea fishing, aquaculture or processing (1.), an organisation or business engaged within recreational sea fishing or an organisation or business engaged in the conservation, enhancement or restoration of the marine environment.
An organisation or business that recycles/upcycles waste materials associated with the seafood sector and/or develops new technologies to improve environmental sustainability associated with the seafood sector.
A public body or local authority in a local community that has a focus on fishing, aquaculture or processing activities (including trust ports and local authority ports, and public bodies, using funds for environmental improvements or the management of fisheries);
A university or research institute;
A new entrant to the industry or unemployed individual that could benefit from knowledge or skills in fishing, aquaculture or processing activities.</t>
  </si>
  <si>
    <t>See website: https://www.gov.uk/guidance/fisheries-and-seafood-scheme#who-can-apply-for-funding</t>
  </si>
  <si>
    <t>FaSS.queries@marinemanagement.org.uk</t>
  </si>
  <si>
    <t>Apply online: FaSS.queries@marinemanagement.org.uk</t>
  </si>
  <si>
    <t>See website: FaSS.queries@marinemanagement.org.uk</t>
  </si>
  <si>
    <t>England and Scotland</t>
  </si>
  <si>
    <t>GOV UK: UK Seafood Fund</t>
  </si>
  <si>
    <t>The fund’s objectives were to:
reform and modernise infrastructure to level up and bring economic growth to coastal communities
ensure the best science, research and technology were used in fisheries management
encourage new entrants to the industry and upskill the existing workforce
enable an environmentally sustainable fishing industry that gave the most value for money and reflected the long term needs of the sector
boost UK seafood exports to new and existing markets</t>
  </si>
  <si>
    <t>See website: https://www.gov.uk/guidance/uk-seafood-fund#objectives-of-the-uk-seafood-fund</t>
  </si>
  <si>
    <t>Apply online</t>
  </si>
  <si>
    <t>Wessex Water: Environment Fund</t>
  </si>
  <si>
    <t>To receive funding, projects must demonstrate one or more of the following outcomes:
-involve communities in environmental activities that benefit their local area
-restore, maintain or enhance the local natural environment
-engage people in supporting the local natural environment.
Priority will be given to projects that:
-reduce water usage
-improve environmental sustainability*
-improve local biodiversity.</t>
  </si>
  <si>
    <t xml:space="preserve">
Charities
Local Authorities
Landowners
Community Groups
Not-for-profit
NGOs</t>
  </si>
  <si>
    <t>Wessex water catchment</t>
  </si>
  <si>
    <t>The fund is open to voluntary and community groups with charitable aims, registered charities and community interest companies with an average annual income of less than £500,000 for the last three years.
Schools and parish councils may also apply if they can demonstrate a community benefit. Groups and organisations must be based and operate within the Wessex Water region.
This fund is targeted at organisations where a small amount of money can make a significant difference, so we will consider your access to other sources of funding when deciding which groups will receive support.</t>
  </si>
  <si>
    <t>See website: https://www.wessexwater.co.uk/in-your-community/environment-fund</t>
  </si>
  <si>
    <t>Apply online: https://www.wessexwater.co.uk/in-your-community/environment-fund</t>
  </si>
  <si>
    <t>Currently closed (might re-open later in 2026)</t>
  </si>
  <si>
    <t xml:space="preserve">£5,00 - £30,000  </t>
  </si>
  <si>
    <t xml:space="preserve">Thriving natural environments are crucial to flourishing human life, now and in the future. UNHCR brings new ideas and approaches to the climate and environmental crises – and their impacts on the protection of forcibly displaced and stateless people and their hosts– to respond to adverse effects, anticipate challenges, ensure self-reliance, and make interventions more sustainable. 
We aim to develop solutions in collaboration with communities by nurturing early-stage innovations that contribute to UNHCR’s Strategic Framework for Climate Action and Operational Strategy for Climate Resilience and Environmental Sustainability. We’re piloting environmentally sustainable solutions that ensure protection, adaptation and resilience, and that help preserve and rehabilitate the environment. </t>
  </si>
  <si>
    <t xml:space="preserve">
Charities
</t>
  </si>
  <si>
    <t xml:space="preserve">The Fund is open to all colleagues in UNHCR, regardless of contract type or position. Applicants are encouraged to form multifunctional teams (MFTs), with cross-unit, cross-border, and/or cross-division composition. Team members can be located in any UNHCR field operation, regional office, multi-country office, HQ-based location, or combination thereof.  
While only UNHCR teams are eligible to submit applications, teams are encouraged to collaborate with other groups – particularly refugee-led organizations, community-based organizations, and actors bringing diverse expertise. The Fund is not open to applicants external to UNHCR. If you are a refugee-led organization, you are welcome to apply to the Refugee-led Innovation Fund.  </t>
  </si>
  <si>
    <t>See website: https://www.unhcr.org/innovation/environment-and-climate-action-fund/</t>
  </si>
  <si>
    <t>hqenvinnov@unhcr.org</t>
  </si>
  <si>
    <t>Apply online: https://www.unhcr.org/innovation/environment-and-climate-action-fund/</t>
  </si>
  <si>
    <t>Anticipated to re-open in 2026, no date specified</t>
  </si>
  <si>
    <t>Severn Trent: Community Fund (Environment)</t>
  </si>
  <si>
    <t>Our Fund aims to support the wellbeing of communities in the Severn Trent region. We want to fund new projects that link to three key elements of community wellbeing - People, Place and Environment -  and we’re really interested in projects that cover all three: People, Place, Environment.
And of course, being a water company, naturally we’d love to see applications for projects that have a connection to water too (although this isn’t essential). Some examples might include improving access to and caring for rivers, installing grey water recycling, or creating sustainable drainage (SuDS) and water efficient green spaces.
We’ll consider both capital and revenue projects, as long as the project has plans to be sustained beyond our initial investment.</t>
  </si>
  <si>
    <t>Severn Trent catchment</t>
  </si>
  <si>
    <t>£2,000 - £50,000</t>
  </si>
  <si>
    <t xml:space="preserve">You can apply for a grant if your organisation:
-is not-for-profit, has a governing document and a bank account in the legal name of the organisation (with dual signatories); or
-is a foundation school, college or academy trust; or
-is a statutory body (including local authorities, town, parish or community council).
-The proposed project must be located in the Severn Trent region and the community it is benefiting must be Severn Trent customers. Our catchment region stretches across the heart of the UK, from the Bristol Channel to the Humber, and from the West Midlands to the East Midlands.
</t>
  </si>
  <si>
    <t>See website: https://www.stwater.co.uk/about-us/severn-trent-community-fund/new-project-funding/</t>
  </si>
  <si>
    <t>Apply online: https://webportalapp.com/sp/login/severntrentcommunityfund-newprojects</t>
  </si>
  <si>
    <t>https://www.stwater.co.uk/help-and-contact/contact-us/</t>
  </si>
  <si>
    <t>See website: https://www.stwater.co.uk/about-us/severn-trent-community-fund/</t>
  </si>
  <si>
    <t>You can apply if your woodland’s location and design benefit the public. This includes areas where natural colonisation was used.
Additional contributions are one-off payments. They are paid with your final capital claim, when we are satisfied that all the capital works are completed satisfactorily. Eligibility is assessed by compartment. Each compartment must meet the criteria independently.
Additional contributions are awarded on spatial targeting and planting design. They can be stacked on the same area of land where the location and design of your woodland provides multiple public benefits. They can be one, or a combination of:     
-Nature recovery.
-Water quality.
-Flood risk management.
-Riparian buffers.
-Close to settlements.
-Recreational access.
-Ammonia capture.</t>
  </si>
  <si>
    <t xml:space="preserve">GOV UK / Forestry Commission: England Woodland Creation Offer </t>
  </si>
  <si>
    <t>Industry (e.g. agriculture)
Landowners
NGOs</t>
  </si>
  <si>
    <t xml:space="preserve">All landowners, land managers and public bodies can apply, including: 
-owner occupiers 
-tenants or landlords – both will need to agree to the proposal 
-licensors or licensees who carry out activities on land 
-business partnerships 
You can apply on your own or as a group with a joint application. You must nominate a lead applicant. </t>
  </si>
  <si>
    <t>See website: https://www.gov.uk/guidance/england-woodland-creation-offer#who-can-apply</t>
  </si>
  <si>
    <t>EWCO@forestrycommission.gov.uk</t>
  </si>
  <si>
    <t>Apply online: https://www.gov.uk/guidance/england-woodland-creation-offer</t>
  </si>
  <si>
    <t>See website: https://www.gov.uk/guidance/england-woodland-creation-offer</t>
  </si>
  <si>
    <t>31st May 2026</t>
  </si>
  <si>
    <t>Fisheries Management Scotland: Scottish Rivers Fund</t>
  </si>
  <si>
    <t>Form to register interest: https://forms.office.com/Pages/ResponsePage.aspx?id=hLa9D6ZD406xSZ69KvLNg5ijg_yjn1BDnYHtLXJJX9dUMUJKM0k4SjVFSldZOFY2UDk4TkQ4VExZQiQlQCN0PWcu</t>
  </si>
  <si>
    <t>Currently not open with little information. More due to be announced in 2026</t>
  </si>
  <si>
    <t>See website: https://fms.scot/scottish-rivers-fund/</t>
  </si>
  <si>
    <t>Once a year, 18th February 2026</t>
  </si>
  <si>
    <t>Annually between June - August</t>
  </si>
  <si>
    <t>See website for updates and further information: https://corporate.wessexwater.co.uk/our-purpose/rivers-and-coastal-waters/catchment-management/river-stour-phosphorus</t>
  </si>
  <si>
    <t>Available at: https://www.nwg.co.uk/globalassets/corporate/environment-pdfs/pc0272-branch-out---leaflet-nw-or-v3.4.pdf</t>
  </si>
  <si>
    <t>There are different categories that people can apply for, eligibility for each are stated on the Information Guidance documents. Charitable and not-for-profit can apply for all, public sector can only apply for A3. Links below show further information on the grant types
https://openrivers.eu/grants/apply-for-a-grant/ 
https://openrivers.eu/grants/grant-types/</t>
  </si>
  <si>
    <t>Annual. Next window will open February 2026 (last updated January 2026)</t>
  </si>
  <si>
    <t>Case Studies available at: https://openrivers.eu/projects/</t>
  </si>
  <si>
    <t>Up to £2,000 per project.
Total of £63,000 available for 2026 projects, amount granted varies by project</t>
  </si>
  <si>
    <t xml:space="preserve">Funding opportunities open every few months </t>
  </si>
  <si>
    <t xml:space="preserve">Provides multiple grants to projects associated with peat, space for nature (restoration at scale on land or at sea), freshwater, nature friendly farming and fishing in tandem with nature. </t>
  </si>
  <si>
    <t>See website for guidance on funding eligibility: https://esmeefairbairn.org.uk/apply-for-a-grant/our-natural-world-guidance/</t>
  </si>
  <si>
    <t>Any stakeholder who 1) maximises environmental outcomes, 2) provides value for money and 3) capacity and capability of delivery partners</t>
  </si>
  <si>
    <t>Different eligibility depending on the provider</t>
  </si>
  <si>
    <t>SEPA directly commissions fish barrier projects.</t>
  </si>
  <si>
    <t>Projects that are centred
 around the topic of "Water for ecosystems and biodiversity"</t>
  </si>
  <si>
    <t>This Scheme can offer grants of:
-up to 50% of the cost with a maximum of £15,000 for capital items
-up to £10,000 for land management
If eligible for both schemes, you can receive £25,000</t>
  </si>
  <si>
    <t>Contact details must be submitted on website to receive a response/invitation for funding.
If eligible, application forms are sent to catchment@southeastwater.co.uk</t>
  </si>
  <si>
    <t>Various funding sources available, changes from scheme to scheme</t>
  </si>
  <si>
    <t xml:space="preserve">Multiple grants available. The most relevant ones are as stated below:
-Nutrient Management Investment Scheme
-Small grants - Water and Environment
-Sustainable Farming Scheme
</t>
  </si>
  <si>
    <t xml:space="preserve">Not available </t>
  </si>
  <si>
    <t>Conditions available at: https://www.gov.uk/government/publications/water-management-grant-round-2/about-the-water-management-grant-round-2-who-can-apply-and-what-the-grant-can-pay-for</t>
  </si>
  <si>
    <t>Conditions available at: https://www.gov.uk/government/publications/slurry-infrastructure-grant-round-2-applicant-guidance/about-the-slurry-infrastructure-grant-round-2-who-can-apply-and-what-it-can-pay-for</t>
  </si>
  <si>
    <t>Conditions available at: https://www.heritagefund.org.uk/funding/closed-programmes/application-guidance-green-recovery-challenge-fund-round-2</t>
  </si>
  <si>
    <t>Conditions available at: https://www.cambscf.org.uk/funds/anglian-water-inns/</t>
  </si>
  <si>
    <t>Conditions available at: https://www.heritagefund.org.uk/funding/strategic-initiatives
Further information available at: https://naturetownsandcities.org.uk/</t>
  </si>
  <si>
    <t>https://www.heritagefund.org.uk/about/contact-us
Further information available at: https://naturetownsandcities.org.uk/</t>
  </si>
  <si>
    <t>See website: https://www.heritagefund.org.uk/funding/strategic-initiatives
Further information available at: https://naturetownsandcities.org.uk/</t>
  </si>
  <si>
    <t>Conditions available at: https://www.heritagefund.org.uk/funding/strategic-initiatives</t>
  </si>
  <si>
    <t>Available for environmental not-for-profit organisations, AOND and National Park Authorities, local authorities, farmers or land managers</t>
  </si>
  <si>
    <t>Not available on website</t>
  </si>
  <si>
    <t>Conditions available at: https://www.heritagefund.org.uk/funding/nature-networks-fund-4</t>
  </si>
  <si>
    <t>Properties in the Hampshire Avon catchment with old septic tanks and other older sewage systems.</t>
  </si>
  <si>
    <t>See eligibility on website: https://www.gov.wales/nutrient-management-investment-scheme-window-2-guidance-html</t>
  </si>
  <si>
    <t>The Programme for Government sets out our commitments to continue supporting farmers to produce food in a sustainable way, whilst taking action to respond to the climate emergency and to help reverse the decline in biodiversity. Funding support for farmers, land managers and associated rural sectors over the next 3 years is delivered through a flexible framework of support, with schemes – including the Organic Conversion Scheme - delivering towards the following themes: farm scale land management, on farm environmental improvements, on farm efficient and diversification, landscape scale land management, woodland and forestry, food and farming chains</t>
  </si>
  <si>
    <t>See eligibility on website: https://www.gov.wales/organic-conversion-scheme-guidance-html</t>
  </si>
  <si>
    <t>Local contact details are available here: https://www.ruralpayments.org/topics/customer-services/contact/</t>
  </si>
  <si>
    <t>AED is a community benefit society set up by the local community to develop and operate the hydro scheme. Starting in 2021, AED will make funding available to support charitable activities that primarily benefit people living in Invariant, Lochavich, Dalavich, or Kilmaha. However, smaller amounts of funding (‘micro-grants’) are available for charitable activities benefitting people living anywhere in the Avich &amp; Kilchreanan area.</t>
  </si>
  <si>
    <t>See website for further information: https://www.gov.uk/countryside-stewardship-grants/feasibility-study-pa2</t>
  </si>
  <si>
    <t>Video available on website: https://southdownstrust.org.uk/renature-fund/</t>
  </si>
  <si>
    <t>Case study videos available on website: https://southdownstrust.org.uk/community-pitch-2025/</t>
  </si>
  <si>
    <t>Charities 
NGOs 
Community groups 
Not-for-profit
Landowners</t>
  </si>
  <si>
    <t>See website for further information: https://www.nwg.co.uk/responsibility/environment/bluespaces/our-scheme/</t>
  </si>
  <si>
    <t>See website and entrance handbook:
https://waterinnovation.challenges.org/wp-content/uploads/sites/3/2025/11/Water-Efficiency-Lab-1-Entrant-Handbook-v.1-FINAL.pdf
https://waterinnovation.challenges.org/water-efficiency-lab/</t>
  </si>
  <si>
    <t>Ideas available in handbook: https://waterinnovation.challenges.org/wp-content/uploads/sites/3/2025/11/Water-Efficiency-Lab-1-Entrant-Handbook-v.1-FINAL.pdf</t>
  </si>
  <si>
    <t>There are two streams available, see handbooks for eligibility: 
https://waterinnovation.challenges.org/wp-content/uploads/sites/3/2025/12/Early-Adopter-Fast-Follower-Applicant-Handbook.pdf
https://waterinnovation.challenges.org/wp-content/uploads/sites/3/2025/12/Implementation-Enablers-Guide.pdf</t>
  </si>
  <si>
    <t>There are two streams available, see handbooks for eligibility: 
https://waterinnovation.challenges.org/wp-content/uploads/sites/3/2025/12/Early-Adopter-Fast-Follower-Applicant-Handbook.pdf
https://waterinnovation.challenges.org/wp-content/uploads/sites/3/2025/12/Implementation-Enablers-Guide.pdf
Website link: https://waterinnovation.challenges.org/implementation-programme/</t>
  </si>
  <si>
    <t>Ongoing, February, May and August</t>
  </si>
  <si>
    <t>A collation of all funds available in the Cambridge area. Options to apply for funds individually or submit a generic application which will be directed to the most appropriate source.</t>
  </si>
  <si>
    <t xml:space="preserve">Marine - Oceans cover more than two-thirds of the earth's surface, and the fish that live in their waters are crucial to the world's economy, health and environment. Figures suggest that three billion people, predominantly in low-income countries, depend on fish as their primary source of protein, and over 500 million people depend on fisheries and aquiculture for their livelihoods. </t>
  </si>
  <si>
    <t xml:space="preserve">Portal for global charitable funding opportunities. Fund projects associated with climate and health </t>
  </si>
  <si>
    <t>See website for eligibility: https://www.rewildingbritain.org.uk/how-to-rewild/funding-for-rewilding/rewilding-innovation-fund</t>
  </si>
  <si>
    <t>See website for eligibility: https://www.rewildingbritain.org.uk/how-to-rewild/funding-for-rewilding/rewilding-challenge-fund</t>
  </si>
  <si>
    <t>Video available on website: https://evenlodecatchment.org.uk/get-involved/wcgs/</t>
  </si>
  <si>
    <t>Generic information about the anticipated project. See application form: https://www.southwestwater.co.uk/household/your-services/save-water/water-saving-community-fund/application-form</t>
  </si>
  <si>
    <t>To apply for a share of the community funding, your project needs to involve one or more of the following:
Nature and the environment Projects and organisations that directly impact and protect nature for the benefit of community health and wellbeing.
Education Providing new opportunities to help people of all ages grow and develop.
Community Groups that bring people together to create a sense of purpose within communities.
Vulnerability Organisations providing care and support to people who need extra help.</t>
  </si>
  <si>
    <t>Generic information about the anticipated project. See application form: https://app.actionfunder.org/fund/849</t>
  </si>
  <si>
    <t>Generic information about the anticipated project. See application form and eligibility criteria: 
https://www.bristolwater.co.uk/wscf-application-page
https://www.bristolwater.co.uk/water-saving-community-fund</t>
  </si>
  <si>
    <t xml:space="preserve">Not a lot of information about the fund is available. It appears you are meant to apply and they will respond if it is an appropriate project. </t>
  </si>
  <si>
    <t>Charities
Community Groups
Not-for-profit
NGOs
Landowners
Industry (e.g. agriculture)</t>
  </si>
  <si>
    <t>This scheme opens and closes periodically. There are other funding sources available on this scheme too: https://www.gov.uk/find-funding-for-land-or-farms?farming_grant_type=sustainable-farming-incentive</t>
  </si>
  <si>
    <t>Closed November 2025, potential to re-open late 2026</t>
  </si>
  <si>
    <t>February 2025, potential to re-open 2026</t>
  </si>
  <si>
    <t xml:space="preserve">See website: https://englandscommunityforests.org.uk/landowners/working-with-englands-community-forests/
https://englandscommunityforests.org.uk/trees-for-climate/
(Funds could go towards riparian tree planning along rivers) </t>
  </si>
  <si>
    <t>Enquire online: https://englandscommunityforests.org.uk/landowners/</t>
  </si>
  <si>
    <t>Email to enquire about potential available funding. Works alongside England's Community Forests</t>
  </si>
  <si>
    <t>Welsh Government: Natural Flood Management Fund 2026 to 2027</t>
  </si>
  <si>
    <t>Heritage fund: Nature Networks Fund (Round 5)</t>
  </si>
  <si>
    <t>See website: https: //www.gov.uk/guidance/uk-seafood-fund#objectives-of-the-uk-seafood-fund</t>
  </si>
  <si>
    <t xml:space="preserve">UNHRC The UN Refugee Agency: Environment and Climate Action Innovation Fund </t>
  </si>
  <si>
    <t>Two rounds in 2026 for each grant allowance: April/October and February/August</t>
  </si>
  <si>
    <t>GOV UK: Capital grant finder</t>
  </si>
  <si>
    <t>GOV UK: Countryside Stewardship Higher Tier Scheme</t>
  </si>
  <si>
    <t>Environment Fund: Water Quality Improvement Strand</t>
  </si>
  <si>
    <t>Thames Water: Thames Water Catchment Fund</t>
  </si>
  <si>
    <t>Thames 21: EMPOWER Rivers Community Grant</t>
  </si>
  <si>
    <t>Thames Water: Thames Environment Fund</t>
  </si>
  <si>
    <t xml:space="preserve">NatureScot: Nature Restoration Fund </t>
  </si>
  <si>
    <t>Bristol Avon Catchment Partnership: Bristol Avon Catchment Partnership Fund (BACP)</t>
  </si>
  <si>
    <t>Severn Trent: Environmental Protection Scheme (STEPS)</t>
  </si>
  <si>
    <t>Branch Out: NWG Living Water (Northumbrian Water)</t>
  </si>
  <si>
    <t>Open River Program: Programme-Supported dam removals &amp; Enabling others to remove dams</t>
  </si>
  <si>
    <t>Community Chest Grants: South Cambridgeshire</t>
  </si>
  <si>
    <t>Heritage Fund: Nature Networks Fund (round four)</t>
  </si>
  <si>
    <t>Environment Agency: Water Environment Improvement Find (WEIF)</t>
  </si>
  <si>
    <t>Marine Stewardship Council: Ocean Stewardship Fund</t>
  </si>
  <si>
    <t>Scottish Environment Protection Agency: The Water Environment Fund</t>
  </si>
  <si>
    <t>Water4Al: Multiple International Organisations</t>
  </si>
  <si>
    <t>Southern Water: Farm Capital Grants</t>
  </si>
  <si>
    <t>Portsmouth Water: Capital Grant Scheme</t>
  </si>
  <si>
    <t>Lake District National Park: Enhance Your Tank Scheme</t>
  </si>
  <si>
    <t>GOV UK: Water Management Grant</t>
  </si>
  <si>
    <t>GOV UK: Slurry Infrastructure Grant</t>
  </si>
  <si>
    <t>Heritage Fund: Green Recovery Challenge Fund round 2</t>
  </si>
  <si>
    <t>Cambridgeshire Community Foundation: Anglian Water Invasive Non-Native Species</t>
  </si>
  <si>
    <t xml:space="preserve">Heritage Fund: Nature Towns and Cities </t>
  </si>
  <si>
    <t>Heritage Fund: Landscape Connections</t>
  </si>
  <si>
    <t>Heritage Fund: Species Survival Fund</t>
  </si>
  <si>
    <t>Heritage Fund: Nature Works Fund (round 4)</t>
  </si>
  <si>
    <t>Wiltshire Council: Revamp your tank</t>
  </si>
  <si>
    <t>Environment Agency: National Environment Investment Readiness Fund</t>
  </si>
  <si>
    <t xml:space="preserve">Welsh Government: Habitat Wales scheme </t>
  </si>
  <si>
    <t xml:space="preserve">Welsh Government: Nutrient Management Investment Scheme </t>
  </si>
  <si>
    <t>Welsh Government: Organic Conversion Scheme</t>
  </si>
  <si>
    <t>Scottish Marine Environmental Enhancement Fund: Grants</t>
  </si>
  <si>
    <t>Scottish Government: Agri-Environment Climate Scheme</t>
  </si>
  <si>
    <t>Foundation Scotland: River Avich Hydro Community Benefit Fund</t>
  </si>
  <si>
    <t>GOV UK: Capital Grant PA1: Implementation plan</t>
  </si>
  <si>
    <t>GOV UK: Capital Grant PA2: Feasibility study</t>
  </si>
  <si>
    <t>Riverwoods: Riverwoods Development Grant</t>
  </si>
  <si>
    <t xml:space="preserve">National Grid: Landscape Enhancement Initiative </t>
  </si>
  <si>
    <t>South Downs National Park Trust: ReNature Fund</t>
  </si>
  <si>
    <t>Souht Downs National Park Trust: Community Pitch</t>
  </si>
  <si>
    <t>South Downs National Park Trust: The Sustainable Communities Fund</t>
  </si>
  <si>
    <t xml:space="preserve">South Downs National Park Trust: Pounds for Ponds Fund </t>
  </si>
  <si>
    <t>NWG Living Water: BlueSpaces</t>
  </si>
  <si>
    <t>South West Water: Nature Recovery Fund</t>
  </si>
  <si>
    <t>Ofwat: Water Discovery Challenge 2</t>
  </si>
  <si>
    <t>Ofwat: Water Breakthrough Challenge 6 / Water Innovation Fund</t>
  </si>
  <si>
    <t>Ofwat: Water Efficiency Lab 1 / Water Innovation Fund</t>
  </si>
  <si>
    <t>Ofwat: Water Innovation Implementation Programme / Water Innovation Fund</t>
  </si>
  <si>
    <t>Anglian Water: Thriving Communities Fund</t>
  </si>
  <si>
    <t>Cambridge Community Foundation: Grants</t>
  </si>
  <si>
    <t xml:space="preserve">Water Witness: Fair Water Action Fund </t>
  </si>
  <si>
    <t>The Waterloo Foundation: Environment (Marine)</t>
  </si>
  <si>
    <t xml:space="preserve">Wellcome: Find a funding opportunity </t>
  </si>
  <si>
    <t>Rewilding Britain: Rewilding Innovation Fund</t>
  </si>
  <si>
    <t xml:space="preserve">Rewilding Britain: Rewilding Challenge Fund </t>
  </si>
  <si>
    <t>Green Roots Fund: Greater London Authority</t>
  </si>
  <si>
    <t>Funding finder: Bath &amp; North Somerset Council</t>
  </si>
  <si>
    <t xml:space="preserve">Wetland Creation Grant Scheme: Evenlode Catchment Partnership </t>
  </si>
  <si>
    <t xml:space="preserve">Water-saving Community Fund: South West Water </t>
  </si>
  <si>
    <t>Better Futures Fund: South West Water</t>
  </si>
  <si>
    <t>Veolia Environmental Trust: Habitat and Biodiversity Grant</t>
  </si>
  <si>
    <t xml:space="preserve">Stobart: The Stobart Sustainability Fund </t>
  </si>
  <si>
    <t>Herefordshire Council: Nature and Biodiversity Community Grant Scheme</t>
  </si>
  <si>
    <t xml:space="preserve">South Hams District Council: Climate Change and Biodiversity Locality Fund </t>
  </si>
  <si>
    <t>John Ellerman Foundation: Grants</t>
  </si>
  <si>
    <t>Portsmouth Water: Biodiversity Grant Scheme</t>
  </si>
  <si>
    <t xml:space="preserve">Sustainable Farming Incentive: WBD8 - Manage grassland to reduce nutrient levels in groundwater </t>
  </si>
  <si>
    <t xml:space="preserve">LAWPRO Catchment Support Fund: Department of Housing, Local Government and Heritage </t>
  </si>
  <si>
    <t>Varies depending on requirements</t>
  </si>
  <si>
    <t>Varies depending on requirements:
https://corporate.wessexwater.co.uk/our-purpose/rivers-and-coastal-waters/catchment-management/river-stour-phosphorus</t>
  </si>
  <si>
    <t xml:space="preserve">Varies depending on requirements:
https://corporate.wessexwater.co.uk/our-purpose/rivers-and-coastal-waters/catchment-management/somerset-phosphorus
</t>
  </si>
  <si>
    <t xml:space="preserve">Varies depending on requirements:
 https://corporate.wessexwater.co.uk/media/yw0jr1ke/shapwick-and-sturminster-marshall-measures-summary.pdf </t>
  </si>
  <si>
    <t>Up to £30,000</t>
  </si>
  <si>
    <t>See website: https://corporate.dwrcymru.com/en/community/environment/our-projects/water-framework-directive-schemes</t>
  </si>
  <si>
    <t>Up to £3,000</t>
  </si>
  <si>
    <t>Up to 100,000 euros</t>
  </si>
  <si>
    <t>There are 4 types of grants available: The Transition Assistance Fund - £50,000
The Science and Research Fund - £50,000
The Recertification Assistance - £30,000 
MSC Student Research Grants - £10,000</t>
  </si>
  <si>
    <t>Stream 1: €480 to €5,000
Stream 2: €9,608 to €51,800</t>
  </si>
  <si>
    <t xml:space="preserve">Status </t>
  </si>
  <si>
    <t xml:space="preserve">Permanently closed </t>
  </si>
  <si>
    <t>Open / Active</t>
  </si>
  <si>
    <t>20th March 2026</t>
  </si>
  <si>
    <t>27th March 2026</t>
  </si>
  <si>
    <t xml:space="preserve">Temporarily closed, anticipated to re-open </t>
  </si>
  <si>
    <t>Information available at: 
https://www.gov.wales/nutrient-management-investment-scheme-28-july-2025-5-september-2025
https://www.gov.wales/small-grants-environment-water
https://www.gov.wales/sustainable-farming-scheme-2026-scheme-description-html</t>
  </si>
  <si>
    <t>Conditions available at:
https://www.gov.wales/nutrient-management-investment-scheme-28-july-2025-5-september-2025
https://www.gov.wales/small-grants-environment-water
https://www.gov.wales/sustainable-farming-scheme-2026-scheme-description-html</t>
  </si>
  <si>
    <t>https://www.gov.uk/government/publications/countryside-stewardship-higher-tier-csht/csht-applicants-guide#about-the-countryside-stewardship-higher-tier-csht-scheme</t>
  </si>
  <si>
    <t>Link to website</t>
  </si>
  <si>
    <t>https://www.gov.uk/government/publications/water-restoration-fund-guidance-for-applicants</t>
  </si>
  <si>
    <t>DEFRA / UK Government: Water Restoration Fund</t>
  </si>
  <si>
    <t>See website: https://www.daera-ni.gov.uk/articles/environment-fund-water-quality-improvement-strand</t>
  </si>
  <si>
    <t>catchment.projects@thameswater.co.uk
https://promar-international.com/thames-valley-catchment-fund/
AND
https://www.thameswater.co.uk/about-us/environment/smarter-water-catchments
 AND 
https://ceresrural.co.uk/insights/thames-water-catchment-fund-year-round-grants-to-boost-sustainable-farming/</t>
  </si>
  <si>
    <t>https://www.thameswater.co.uk/about-us/environment/smarter-water-catchments</t>
  </si>
  <si>
    <t>See website: https://www.thameswater.co.uk/about-us/environment/smarter-water-catchments</t>
  </si>
  <si>
    <t>See website: ricardo.com/en/news-and-insights/campaigns/anglian-water-farming-innovation-grant</t>
  </si>
  <si>
    <t>info@ricardo.com</t>
  </si>
  <si>
    <t xml:space="preserve">See website: https://www.thames21.org.uk/empower-rivers-community-grant/ </t>
  </si>
  <si>
    <t xml:space="preserve">https://www.thames21.org.uk/empower-rivers-community-grant/ </t>
  </si>
  <si>
    <t>See website: https://pla.co.uk/thames-environment-fund?utm_campaign=Thames%20Environment%20Fund&amp;utm_content=335783044&amp;utm_medium=social&amp;utm_source=linkedin&amp;hss_channel=lcp-336010</t>
  </si>
  <si>
    <t>See website for additional details</t>
  </si>
  <si>
    <t>https://www.nature.scot/funding-and-projects/nature-restoration-fund/nature-restoration-fund-guidance</t>
  </si>
  <si>
    <t>https://corporate.wessexwater.co.uk/our-purpose/rivers-and-coastal-waters/catchment-management/river-stour-phosphorus</t>
  </si>
  <si>
    <t xml:space="preserve"> Wessex Water: Tone, Parrett and Yeo Phosphorus Reduction Scheme 
</t>
  </si>
  <si>
    <t>https://corporate.wessexwater.co.uk/our-purpose/rivers-and-coastal-waters/catchment-management/somerset-phosphorus</t>
  </si>
  <si>
    <t>https://corporate.wessexwater.co.uk/our-purpose/rivers-and-coastal-waters/shapwick-and-sturminster-marshall</t>
  </si>
  <si>
    <t>https://www.heritagefund.org.uk/funding</t>
  </si>
  <si>
    <t>https://www.stwater.co.uk/about-us/environment/working-with-farmers-and-land-managers/severn-trent-environmental-protection-scheme/</t>
  </si>
  <si>
    <t>https://www.nwg.co.uk/responsibility/environment/branch-out-funds/</t>
  </si>
  <si>
    <t xml:space="preserve">Dŵr Cymru Water: Water Framework Directive (Multiple Funding Schemes)
</t>
  </si>
  <si>
    <t>To discuss ideas for projects, or to obtain an application form,  e-mail: wfd@dwrcymru.com</t>
  </si>
  <si>
    <t>https://corporate.dwrcymru.com/en/community/environment/our-projects/water-framework-directive-schemes</t>
  </si>
  <si>
    <t>https://www.southernwater.co.uk/retailers/working-with-us/suds-community-fund/#sudsform</t>
  </si>
  <si>
    <t>https://www.southernwater.co.uk/save-a-little-water/business-partnership-fund/#</t>
  </si>
  <si>
    <t>https://openrivers.eu/grants/apply-for-a-grant/</t>
  </si>
  <si>
    <t>https://www.scambs.gov.uk/grants-and-funding/community-chest-grants-open</t>
  </si>
  <si>
    <t>https://www.naturesave.co.uk/naturesave-trust/about-the-naturesave-trust/</t>
  </si>
  <si>
    <t>https://esmeefairbairn.org.uk/apply-for-a-grant/our-natural-world-guidance/</t>
  </si>
  <si>
    <t>https://www.heritagefund.org.uk/funding/nature-networks-fund-4</t>
  </si>
  <si>
    <t>https://www.gov.uk/government/publications/water-environment-improvement-fund-projects</t>
  </si>
  <si>
    <t xml:space="preserve"> https://arcadiafund.org.uk/grants-programmes</t>
  </si>
  <si>
    <t>https://www.sepa.org.uk/environment/water/water-environment-fund/</t>
  </si>
  <si>
    <t>https://proposals.etag.ee/water4all/</t>
  </si>
  <si>
    <t>https://www.southeastwater.co.uk/about/our-environment/capital-grants-scheme/</t>
  </si>
  <si>
    <t xml:space="preserve">https://www.norfolkriverstrust.org/projects/the-aviva-access-to-nature-fund </t>
  </si>
  <si>
    <t>https://islandrivers.org.uk/farm-capital-grants/</t>
  </si>
  <si>
    <t>https://www.portsmouthwater.co.uk/wp-content/uploads/2019/04/1.-CAPITAL-GRANT-SCHEME-BOOKLET.pdf</t>
  </si>
  <si>
    <t>www.lakedistrictfoundation.org/apply-for-a-grant</t>
  </si>
  <si>
    <t>https://eyeoncalderdale.com/natural-flood-management-calderdale/</t>
  </si>
  <si>
    <t>https://www.gov.wales/small-grants-environment-water</t>
  </si>
  <si>
    <t>https://www.gov.wales/sustainable-farming-scheme-2026-scheme-description-html</t>
  </si>
  <si>
    <t>https://www.gov.wales/nutrient-management-investment-scheme-28-july-2025-5-september-2025
https://www.gov.wales/small-grants-environment-water
https://www.gov.wales/sustainable-farming-scheme-2026-scheme-description-html</t>
  </si>
  <si>
    <t>https://www.lakedistrict.gov.uk/?a=521152</t>
  </si>
  <si>
    <t>https://www.gov.uk/government/publications/slurry-infrastructure-grant-round-2-applicant-guidance/about-the-slurry-infrastructure-grant-round-2-who-can-apply-and-what-it-can-pay-for</t>
  </si>
  <si>
    <t>https://www.cambscf.org.uk/funds/anglian-water-inns/</t>
  </si>
  <si>
    <t>https://www.heritagefund.org.uk/funding/strategic-initiatives</t>
  </si>
  <si>
    <t>https://www.heritagefund.org.uk/about/contact-us
 https://naturetownsandcities.org.uk/</t>
  </si>
  <si>
    <t>https://www.heritagefund.org.uk/funding/closed-programmes/species-survival-fund</t>
  </si>
  <si>
    <t>https://www.wiltshire.gov.uk/planning-bio-development</t>
  </si>
  <si>
    <t>https://www.gov.uk/government/publications/apply-for-a-grant-from-the-natural-environment-investment-readiness-fund/how-to-apply-for-a-natural-environment-investment-readiness-fund-grant</t>
  </si>
  <si>
    <t>https://www.gov.wales/habitat-wales-scheme-outline-html#130798</t>
  </si>
  <si>
    <t>https://www.gov.wales/nutrient-management-investment-scheme-window-2-guidance-html#149082</t>
  </si>
  <si>
    <t>https://www.gov.wales/organic-conversion-scheme-guidance-html#101485</t>
  </si>
  <si>
    <t>https://smeef.scot/grants/</t>
  </si>
  <si>
    <t>https://www.ruralpayments.org/topics/all-schemes/lfass/</t>
  </si>
  <si>
    <t>https://www.ruralpayments.org/topics/all-schemes/agri-environment-climate-scheme/agri-environment-climate-scheme-full-guidance-menu/information-to-submit-with-your-application/</t>
  </si>
  <si>
    <t xml:space="preserve"> https://www.awesome-energy.com/community.html
 https://www.foundationscotland.org.uk/apply-for-funding/funding-available/river-avich-hydro-open-grants-fund</t>
  </si>
  <si>
    <t>https://www.gov.uk/government/publications/capital-grants-plans-2026/applicants-guide-capital-grants-plans-2026
https://www.gov.uk/countryside-stewardship-grants/implementation-plan-pa1</t>
  </si>
  <si>
    <t>https://www.gov.uk/government/publications/capital-grants-plans-2026/applicants-guide-capital-grants-plans-2026
 https://www.gov.uk/countryside-stewardship-grants/implementation-plan-pa2</t>
  </si>
  <si>
    <t>https://www.riverwoods.org.uk/project/riverwoods-development-grant/</t>
  </si>
  <si>
    <t>https://www.nationalgrid.com/electricity-transmission/network-and-infrastructure/visual-impact-provision/landscape-enhancement-initiative#230548828-2370035792</t>
  </si>
  <si>
    <t>https://southdownstrust.org.uk/app/uploads/2024/12/SCF-Information-Sheet.pdf</t>
  </si>
  <si>
    <t>https://www.nwg.co.uk/responsibility/environment/bluespaces/our-scheme/</t>
  </si>
  <si>
    <t>https://www.southwestwater.co.uk/environment/projects/nature-recovery-fund</t>
  </si>
  <si>
    <t>https://waterinnovation.challenges.org/wp-content/uploads/sites/3/2026/01/Innovator-Handbook-Water-Discovery-Challenge-2-V1.pdf</t>
  </si>
  <si>
    <t>https://waterinnovation.challenges.org/breakthrough6/catalyst/
https://waterinnovation.challenges.org/breakthrough6/transform/</t>
  </si>
  <si>
    <t>https://waterinnovation.challenges.org/wp-content/uploads/sites/3/2025/11/Water-Efficiency-Lab-1-Entrant-Handbook-v.1-FINAL.pdf
https://waterinnovation.challenges.org/water-efficiency-lab/</t>
  </si>
  <si>
    <t>https://waterinnovation.challenges.org/wp-content/uploads/sites/3/2025/12/Early-Adopter-Fast-Follower-Applicant-Handbook.pdf
https://waterinnovation.challenges.org/wp-content/uploads/sites/3/2025/12/Implementation-Enablers-Guide.pdf
 https://waterinnovation.challenges.org/implementation-programme/</t>
  </si>
  <si>
    <t>https://www.cambscf.org.uk/funds/thriving-communities/</t>
  </si>
  <si>
    <t>https://www.cambscf.org.uk/applying/#open-and-specific-fund-applications
 https://www.cambscf.org.uk/funds/?gt=any&amp;am=any&amp;ea=any&amp;sc=environment&amp;dl=any</t>
  </si>
  <si>
    <t>https://waterwitness.org/fair-water-action-fund</t>
  </si>
  <si>
    <t>https://waterloofoundation.org.uk/environmentapplications/</t>
  </si>
  <si>
    <t>https://wellcome.org/research-funding/schemes</t>
  </si>
  <si>
    <t>https://www.rewildingbritain.org.uk/how-to-rewild/funding-for-rewilding/rewilding-challenge-fund</t>
  </si>
  <si>
    <t>https://www.london.gov.uk/programmes-strategies/environment-and-climate-change/parks-green-spaces-and-biodiversity/green-space-funding/green-roots-fund/green-roots-fund-prospectus#key-dates-and-timelines-240185-title</t>
  </si>
  <si>
    <t>https://www.bathnes.gov.uk/funding-finder</t>
  </si>
  <si>
    <t>https://evenlodecatchment.org.uk/wp-content/uploads/2025/10/Evenlode-wetland-creation-scheme-handbook-25-27.pdf
 https://evenlodecatchment.org.uk/get-involved/wcgs/</t>
  </si>
  <si>
    <t>https://www.southwestwater.co.uk/household/your-services/save-water/water-saving-community-fund</t>
  </si>
  <si>
    <t>https://www.bristolwater.co.uk/wscf-application-page
https://www.bristolwater.co.uk/water-saving-community-fund</t>
  </si>
  <si>
    <t>https://www.veoliatrust.org/funding/</t>
  </si>
  <si>
    <t xml:space="preserve">Commercial </t>
  </si>
  <si>
    <t>https://eddiestobart.com/the-stobart-sustainability-fund/#enquires</t>
  </si>
  <si>
    <t>https://www.herefordshire.gov.uk/directories/grants/nature-and-biodiversity-community-grant-scheme/</t>
  </si>
  <si>
    <t>https://www.southhams.gov.uk/communities/community-grants-and-funding/climate-change-and-biodiversity-locality-fund#lgd-guides__title</t>
  </si>
  <si>
    <t>https://ellerman.org.uk/apply-for-funding</t>
  </si>
  <si>
    <t>https://www.cleanwaterpartnership.co.uk/about-1-1
https://www.cleanwaterpartnership.co.uk/_files/ugd/b9588f_fbce9c3e8c5941648b541f3aaad56d8f.pdf</t>
  </si>
  <si>
    <t>https://www.gov.uk/find-funding-for-land-or-farms/wbd8-manage-grassland-to-reduce-nutrient-levels-in-groundwater#full-publication-update-history</t>
  </si>
  <si>
    <t>https://chesssmarterwatercatchment.org/about-the-project/grants-and-funding-opportunities/</t>
  </si>
  <si>
    <t>https://consult.watersandcommunities.ie/en/content/lawpro-catchment-support-fund-2026</t>
  </si>
  <si>
    <t>https://www.daera-ni.gov.uk/articles/farming-nature-transition-scheme</t>
  </si>
  <si>
    <t>https://englandscommunityforests.org.uk/landowners/</t>
  </si>
  <si>
    <t>https://thenorthernforest.org.uk/financial-support/</t>
  </si>
  <si>
    <t>https://www.gov.uk/guidance/flood-and-coastal-erosion-risk-management-projects-and-funding</t>
  </si>
  <si>
    <t>https://www.gov.wales/natural-flood-management-guidance-undertake-natural-flood-management-works-html</t>
  </si>
  <si>
    <t>https://www.gloucestershire.gov.uk/planning-and-environment/flood-risk-management/flooding-information/natural-flood-management/funding-for-nfm-in-gloucestershire/</t>
  </si>
  <si>
    <t>https://www.groundwork.org.uk/grassroots-grants/</t>
  </si>
  <si>
    <t>https://www.williamgrantfoundation.org.uk/our-grant-making/</t>
  </si>
  <si>
    <t>https://www.sea-changers.org.uk/how-to-apply</t>
  </si>
  <si>
    <t>https://www.sea-changers.org.uk/coastal-fountain-fund</t>
  </si>
  <si>
    <t>https://www.sea-changers.org.uk/innovation-fund</t>
  </si>
  <si>
    <t>https://anglingtrust.net/funding/fisheries-improvement-programme/</t>
  </si>
  <si>
    <t>https://www.heritagefund.org.uk/funding/nature-networks-fund-round-five#heading-5</t>
  </si>
  <si>
    <t>https://www.wessexwater.co.uk/in-your-community/environment-fund</t>
  </si>
  <si>
    <t>https: //www.gov.uk/guidance/uk-seafood-fund#objectives-of-the-uk-seafood-fund</t>
  </si>
  <si>
    <t>https://www.unhcr.org/innovation/environment-and-climate-action-fund/</t>
  </si>
  <si>
    <t>https://www.stwater.co.uk/about-us/severn-trent-community-fund/new-project-funding/</t>
  </si>
  <si>
    <t>https://www.gov.uk/guidance/england-woodland-creation-offer</t>
  </si>
  <si>
    <t>https://fms.scot/scottish-rivers-fund/</t>
  </si>
  <si>
    <t xml:space="preserve">Link </t>
  </si>
  <si>
    <t xml:space="preserve">Source  </t>
  </si>
  <si>
    <t xml:space="preserve">
EU Funding &amp; Tenders Portal</t>
  </si>
  <si>
    <t xml:space="preserve">Portal for EU funding and tender oppertunities </t>
  </si>
  <si>
    <t>https://ec.europa.eu/info/funding-tenders/opportunities/portal/screen/opportunities/calls-for-proposals?freeTextSearchKeyword=&amp;matchWholeText=true&amp;programmePeriod=2021%20-%202027&amp;destination=null&amp;mission=null&amp;programmeDivisionProspect=null&amp;cpvCode=null&amp;performanceOfDelivery=null&amp;sortQuery=sortStatus&amp;orderBy=asc&amp;onlyTenders=false&amp;topicListKey=topicSearchTablePageState&amp;type=1,0&amp;callIdentifier=null&amp;status=31094501,31094502,31094503&amp;frameworkProgramme=43252405&amp;programmeDivision=null&amp;focusArea=null&amp;geographicalZones=null&amp;crossCuttingPriorities=null&amp;isExactMatch=true&amp;order=DESC&amp;pageNumber=1&amp;pageSize=50&amp;sortBy=startDate</t>
  </si>
  <si>
    <t>Natural Flood
Management Measures
A Practical Guide for Farmers in Calderdale</t>
  </si>
  <si>
    <t>A guide for natural flood management measures in Caderdale, written with the Environment Agency. It has applicable advice on flood management in areas outside of the Caderdale area for farmers/land owners.</t>
  </si>
  <si>
    <t>https://eyeoncalderdale.s3.eu-west-2.amazonaws.com/wp-content/uploads/2025/07/08112450/Calderdale-NFM-Guide-final-designed-version-Farmers-Guidance.pdf</t>
  </si>
  <si>
    <t>Welsh Government: Small Grants - Environment: Water</t>
  </si>
  <si>
    <t xml:space="preserve">Portal where the Welsh Government post guidance on grants to inrpove water quality or reduce flood risk </t>
  </si>
  <si>
    <t xml:space="preserve">GOV UK: Find a grant </t>
  </si>
  <si>
    <t>Portal for grants across the UK from the UK Government</t>
  </si>
  <si>
    <t>https://www.find-government-grants.service.gov.uk/grants?searchTerm=environment&amp;fields.grantApplicantType.en-US=1&amp;fields.grantApplicantType.en-US=3&amp;from-day=&amp;from-month=&amp;from-year=&amp;to-day=&amp;to-month=&amp;to-year=&amp;skip=10&amp;limit=10&amp;page=2</t>
  </si>
  <si>
    <t xml:space="preserve">Rural Services Network </t>
  </si>
  <si>
    <t>This website has a monthly Funding Digest for environemtnal related grants and funds</t>
  </si>
  <si>
    <t>https://rsnonline.org.uk/rural-funding-digest-february-2026</t>
  </si>
  <si>
    <t xml:space="preserve">SCVO Funding Scotland </t>
  </si>
  <si>
    <t>Portal to search through grants and funding avaliable in Scotland</t>
  </si>
  <si>
    <t>https://funding.scot/search?miscellaneous=&amp;organisation_income=&amp;sort=&amp;keywords=&amp;activities=climate-action&amp;activities=environment</t>
  </si>
  <si>
    <t>NatureScot: Other Funding Sources</t>
  </si>
  <si>
    <t>Periodically updated, this website includes link to environemtanl related funding avaliable in Scotland</t>
  </si>
  <si>
    <t>https://www.nature.scot/funding-and-projects/other-sources-funding</t>
  </si>
  <si>
    <t>Merlin: Grants</t>
  </si>
  <si>
    <t>Guidance for applying for funding and grants from the EU Funding and Tendering Portal</t>
  </si>
  <si>
    <t>https://project-merlin.eu/files/merlin/otsis/MERLIN_OTSI-7-Grants.pdf</t>
  </si>
  <si>
    <t>Bath &amp; North Somerset Council: Funding Funder</t>
  </si>
  <si>
    <t>Portal for funding avaliable in the Bath and North Somerset council area</t>
  </si>
  <si>
    <t>https://www.bathnes.gov.uk/funding-finder?combine=&amp;field_funding_band_value=All&amp;field_region_value=All&amp;field_category_target_id=2556</t>
  </si>
  <si>
    <t>Cambridgeshire Community Foundation: Funds</t>
  </si>
  <si>
    <t>Portal for Funding avaliable in the Cambridgeshire area</t>
  </si>
  <si>
    <t>https://www.cambscf.org.uk/funds/?gt=any&amp;am=any&amp;ea=any&amp;sc=environment&amp;dl=any</t>
  </si>
  <si>
    <t>Catchment Based Approach: Developing Investible Projects</t>
  </si>
  <si>
    <t>Advice on how to make your project more appealing to investments</t>
  </si>
  <si>
    <t>https://catchmentbasedapproach.org/learn/developing-investible-projects/</t>
  </si>
  <si>
    <t>Catchment Based Approach: Funding Chalk Stream Projects</t>
  </si>
  <si>
    <t>Webinar of funding for chalk streams</t>
  </si>
  <si>
    <t>https://catchmentbasedapproach.org/learn/webinar-funding-chalk-stream-projects/</t>
  </si>
  <si>
    <t>Catchment Based Approach: Finding funds for urban projects: A guide for catchment partnerships</t>
  </si>
  <si>
    <t>This guide, aimed at catchment partnership organisations working in urban areas, provides advice and new ideas to help secure more funding for catchment projects.</t>
  </si>
  <si>
    <t>https://catchmentbasedapproach.org/wp-content/uploads/2018/09/Finding-funds-for-urban-projects-A-guide-for-catchment-partnerships.pdf</t>
  </si>
  <si>
    <t>Existing filters can be cleared by navigating to Data tab, and clicking the clear button when the 'Funding Database' sheet is open.</t>
  </si>
  <si>
    <t>© River Deep Mountain AI 2026</t>
  </si>
  <si>
    <t>The contents of this document are subject to copyright and all rights are reserved. No part of this document may be reproduced, stored in a retrieval system or transmitted, in any form or by any means electronic, mechanical, photocopying, recording or otherwise, without the prior written consent of River Deep Mountain AI. The funding sources listed herein are provided solely for informational and guidance purposes. The list is not exhaustive. While we strive to present a variety of options, there may be additional funding sources available that are not included.</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</si>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</sst>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quot;#,##0;[Red]\-&quot;£&quot;#,##0"/>
    <numFmt numFmtId="165" formatCode="[$-F800]dddd\,\ mmmm\ dd\,\ yyyy"/>
  </numFmts>
  <fonts count="11" x14ac:knownFonts="1">
    <font>
      <sz val="11"/>
      <color theme="1"/>
      <name val="Calibri"/>
      <family val="2"/>
      <scheme val="minor"/>
    </font>
    <font>
      <b/>
      <sz val="11"/>
      <color theme="1"/>
      <name val="Calibri"/>
      <family val="2"/>
      <scheme val="minor"/>
    </font>
    <font>
      <u/>
      <sz val="11"/>
      <color theme="10"/>
      <name val="Calibri"/>
      <family val="2"/>
      <scheme val="minor"/>
    </font>
    <font>
      <i/>
      <sz val="11"/>
      <color theme="1"/>
      <name val="Calibri"/>
      <family val="2"/>
      <scheme val="minor"/>
    </font>
    <font>
      <sz val="11"/>
      <color rgb="FF000000"/>
      <name val="Calibri"/>
      <family val="2"/>
      <scheme val="minor"/>
    </font>
    <font>
      <sz val="11"/>
      <name val="Calibri"/>
      <family val="2"/>
      <scheme val="minor"/>
    </font>
    <font>
      <sz val="11"/>
      <color rgb="FF333333"/>
      <name val="Calibri"/>
      <family val="2"/>
      <scheme val="minor"/>
    </font>
    <font>
      <sz val="11"/>
      <color rgb="FFFF0000"/>
      <name val="Calibri"/>
      <family val="2"/>
      <scheme val="minor"/>
    </font>
    <font>
      <sz val="9"/>
      <color theme="1"/>
      <name val="Segoe UI"/>
      <family val="2"/>
    </font>
    <font>
      <b/>
      <i/>
      <sz val="9"/>
      <color theme="1"/>
      <name val="Segoe UI"/>
      <family val="2"/>
    </font>
    <font>
      <b/>
      <sz val="12"/>
      <color theme="1"/>
      <name val="Calibri"/>
      <family val="2"/>
      <scheme val="minor"/>
    </font>
  </fonts>
  <fills count="4">
    <fill>
      <patternFill patternType="none"/>
    </fill>
    <fill>
      <patternFill patternType="gray125"/>
    </fill>
    <fill>
      <patternFill patternType="solid">
        <fgColor theme="0"/>
        <bgColor indexed="64"/>
      </patternFill>
    </fill>
    <fill>
      <patternFill patternType="solid">
        <fgColor theme="0" tint="-4.9989318521683403E-2"/>
        <bgColor indexed="64"/>
      </patternFill>
    </fill>
  </fills>
  <borders count="4">
    <border>
      <left/>
      <right/>
      <top/>
      <bottom/>
      <diagonal/>
    </border>
    <border>
      <left style="thin">
        <color auto="1"/>
      </left>
      <right style="thin">
        <color auto="1"/>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style="thin">
        <color auto="1"/>
      </top>
      <bottom/>
      <diagonal/>
    </border>
  </borders>
  <cellStyleXfs count="2">
    <xf numFmtId="0" fontId="0" fillId="0" borderId="0"/>
    <xf numFmtId="0" fontId="2" fillId="0" borderId="0" applyNumberFormat="0" applyFill="0" applyBorder="0" applyAlignment="0" applyProtection="0"/>
  </cellStyleXfs>
  <cellXfs count="38">
    <xf numFmtId="0" fontId="0" fillId="0" borderId="0" xfId="0"/>
    <xf numFmtId="0" fontId="0" fillId="0" borderId="0" xfId="0" applyAlignment="1">
      <alignment horizontal="left" vertical="top" wrapText="1"/>
    </xf>
    <xf numFmtId="0" fontId="0" fillId="0" borderId="0" xfId="0" applyAlignment="1">
      <alignment wrapText="1"/>
    </xf>
    <xf numFmtId="0" fontId="0" fillId="2" borderId="0" xfId="0" applyFill="1"/>
    <xf numFmtId="0" fontId="0" fillId="2" borderId="2" xfId="0" applyFill="1" applyBorder="1" applyAlignment="1">
      <alignment vertical="top" wrapText="1"/>
    </xf>
    <xf numFmtId="0" fontId="0" fillId="2" borderId="2" xfId="0" applyFill="1" applyBorder="1" applyAlignment="1">
      <alignment wrapText="1"/>
    </xf>
    <xf numFmtId="0" fontId="1" fillId="0" borderId="3" xfId="0" applyFont="1" applyBorder="1" applyAlignment="1">
      <alignment horizontal="left" vertical="top"/>
    </xf>
    <xf numFmtId="0" fontId="0" fillId="0" borderId="1" xfId="0" applyBorder="1" applyAlignment="1">
      <alignment horizontal="left" vertical="top" wrapText="1"/>
    </xf>
    <xf numFmtId="0" fontId="0" fillId="0" borderId="1" xfId="0" applyBorder="1" applyAlignment="1">
      <alignment wrapText="1"/>
    </xf>
    <xf numFmtId="0" fontId="0" fillId="2" borderId="0" xfId="0" applyFill="1" applyAlignment="1">
      <alignment horizontal="left" vertical="top"/>
    </xf>
    <xf numFmtId="0" fontId="0" fillId="2" borderId="0" xfId="0" applyFill="1" applyAlignment="1">
      <alignment horizontal="left" vertical="top" wrapText="1"/>
    </xf>
    <xf numFmtId="0" fontId="0" fillId="2" borderId="0" xfId="0" applyFill="1" applyAlignment="1">
      <alignment wrapText="1"/>
    </xf>
    <xf numFmtId="0" fontId="1" fillId="0" borderId="1" xfId="0" applyFont="1" applyBorder="1" applyAlignment="1">
      <alignment wrapText="1"/>
    </xf>
    <xf numFmtId="0" fontId="2" fillId="0" borderId="1" xfId="1" applyBorder="1" applyAlignment="1">
      <alignment wrapText="1"/>
    </xf>
    <xf numFmtId="0" fontId="9" fillId="2" borderId="1" xfId="0" applyFont="1" applyFill="1" applyBorder="1" applyAlignment="1">
      <alignment horizontal="justify" vertical="center"/>
    </xf>
    <xf numFmtId="0" fontId="8" fillId="2" borderId="1" xfId="0" applyFont="1" applyFill="1" applyBorder="1" applyAlignment="1">
      <alignment horizontal="justify" vertical="center"/>
    </xf>
    <xf numFmtId="0" fontId="7" fillId="2" borderId="0" xfId="0" applyFont="1" applyFill="1"/>
    <xf numFmtId="0" fontId="10" fillId="0" borderId="0" xfId="0" applyFont="1"/>
    <xf numFmtId="0" fontId="1" fillId="3" borderId="1" xfId="0" applyFont="1" applyFill="1" applyBorder="1" applyProtection="1">
      <protection locked="0"/>
    </xf>
    <xf numFmtId="0" fontId="0" fillId="0" borderId="1" xfId="0" applyBorder="1" applyAlignment="1" applyProtection="1">
      <alignment horizontal="left" vertical="top" wrapText="1"/>
      <protection locked="0"/>
    </xf>
    <xf numFmtId="0" fontId="5" fillId="0" borderId="1" xfId="0" applyFont="1" applyBorder="1" applyAlignment="1" applyProtection="1">
      <alignment horizontal="left" vertical="top" wrapText="1"/>
      <protection locked="0"/>
    </xf>
    <xf numFmtId="0" fontId="4" fillId="0" borderId="1" xfId="0" applyFont="1" applyBorder="1" applyAlignment="1" applyProtection="1">
      <alignment vertical="top" wrapText="1"/>
      <protection locked="0"/>
    </xf>
    <xf numFmtId="0" fontId="6" fillId="0" borderId="1" xfId="0" applyFont="1" applyBorder="1" applyAlignment="1" applyProtection="1">
      <alignment wrapText="1"/>
      <protection locked="0"/>
    </xf>
    <xf numFmtId="0" fontId="0" fillId="0" borderId="1" xfId="0" applyBorder="1" applyAlignment="1" applyProtection="1">
      <alignment wrapText="1"/>
      <protection locked="0"/>
    </xf>
    <xf numFmtId="0" fontId="0" fillId="0" borderId="1" xfId="0" applyBorder="1" applyAlignment="1" applyProtection="1">
      <alignment horizontal="left" vertical="top"/>
      <protection locked="0"/>
    </xf>
    <xf numFmtId="0" fontId="2" fillId="0" borderId="1" xfId="1" applyFill="1" applyBorder="1" applyAlignment="1" applyProtection="1">
      <alignment horizontal="left" vertical="top" wrapText="1"/>
      <protection locked="0"/>
    </xf>
    <xf numFmtId="17" fontId="0" fillId="0" borderId="1" xfId="0" applyNumberFormat="1" applyBorder="1" applyAlignment="1" applyProtection="1">
      <alignment horizontal="left" vertical="top" wrapText="1"/>
      <protection locked="0"/>
    </xf>
    <xf numFmtId="164" fontId="0" fillId="0" borderId="1" xfId="0" applyNumberFormat="1" applyBorder="1" applyAlignment="1" applyProtection="1">
      <alignment horizontal="left" vertical="top" wrapText="1"/>
      <protection locked="0"/>
    </xf>
    <xf numFmtId="0" fontId="2" fillId="0" borderId="1" xfId="1" applyBorder="1" applyAlignment="1" applyProtection="1">
      <alignment horizontal="left" vertical="top" wrapText="1"/>
      <protection locked="0"/>
    </xf>
    <xf numFmtId="165" fontId="0" fillId="0" borderId="1" xfId="0" applyNumberFormat="1" applyBorder="1" applyAlignment="1" applyProtection="1">
      <alignment horizontal="left" vertical="top" wrapText="1"/>
      <protection locked="0"/>
    </xf>
    <xf numFmtId="0" fontId="0" fillId="0" borderId="1" xfId="0" applyBorder="1" applyAlignment="1" applyProtection="1">
      <alignment vertical="top" wrapText="1"/>
      <protection locked="0"/>
    </xf>
    <xf numFmtId="0" fontId="2" fillId="0" borderId="1" xfId="1" applyFill="1" applyBorder="1" applyAlignment="1" applyProtection="1">
      <alignment vertical="top" wrapText="1"/>
      <protection locked="0"/>
    </xf>
    <xf numFmtId="0" fontId="5" fillId="0" borderId="1" xfId="0" applyFont="1" applyBorder="1" applyAlignment="1" applyProtection="1">
      <alignment wrapText="1"/>
      <protection locked="0"/>
    </xf>
    <xf numFmtId="0" fontId="2" fillId="0" borderId="1" xfId="1" applyBorder="1" applyAlignment="1" applyProtection="1">
      <alignment vertical="top" wrapText="1"/>
      <protection locked="0"/>
    </xf>
    <xf numFmtId="49" fontId="0" fillId="0" borderId="1" xfId="0" applyNumberFormat="1" applyBorder="1" applyAlignment="1" applyProtection="1">
      <alignment horizontal="left" vertical="top" wrapText="1"/>
      <protection locked="0"/>
    </xf>
    <xf numFmtId="15" fontId="0" fillId="0" borderId="1" xfId="0" applyNumberFormat="1" applyBorder="1" applyAlignment="1" applyProtection="1">
      <alignment horizontal="left" vertical="top" wrapText="1"/>
      <protection locked="0"/>
    </xf>
    <xf numFmtId="0" fontId="1" fillId="0" borderId="1" xfId="0" applyFont="1" applyBorder="1" applyAlignment="1">
      <alignment horizontal="left" vertical="top"/>
    </xf>
    <xf numFmtId="0" fontId="1" fillId="0" borderId="3" xfId="0" applyFont="1" applyBorder="1" applyAlignment="1">
      <alignment horizontal="left" vertical="top"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person displayName="Vanja Eavery" id="{131CFBDF-98DD-4F71-BEF1-73478A310033}" userId="S::Vanja.Eavery@wrcgroup.com::33b1fbfa-098d-4180-b5fe-a006537082d7" providerId="AD"/>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7" dT="2024-10-14T10:14:14.87" personId="{131CFBDF-98DD-4F71-BEF1-73478A310033}" id="{8900E4ED-8BC1-4DFF-91AB-534EDC7BE017}" done="1">
    <text>A suggestion here could be to add “fishing” if we’re adding in the fishing funding sources</text>
  </threadedComment>
</ThreadedComments>
</file>

<file path=xl/worksheets/_rels/sheet1.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3" Type="http://schemas.openxmlformats.org/officeDocument/2006/relationships/hyperlink" Target="mailto:FTF@rpa.gov.uk" TargetMode="External"/><Relationship Id="rId18" Type="http://schemas.openxmlformats.org/officeDocument/2006/relationships/hyperlink" Target="https://www.herefordshire.gov.uk/community/flooding/herefordshire-natural-flood-management-nfm-project/natural-flood-management-nfm-case-studies/" TargetMode="External"/><Relationship Id="rId26" Type="http://schemas.openxmlformats.org/officeDocument/2006/relationships/hyperlink" Target="mailto:bluespaces@nwl.co.uk" TargetMode="External"/><Relationship Id="rId39" Type="http://schemas.openxmlformats.org/officeDocument/2006/relationships/hyperlink" Target="https://www.bristolavoncatchment.co.uk/catchment-partnership-fund/how-to-apply/" TargetMode="External"/><Relationship Id="rId21" Type="http://schemas.openxmlformats.org/officeDocument/2006/relationships/hyperlink" Target="https://www.gov.uk/government/publications/water-management-grant-round-2/about-the-water-management-grant-round-2-who-can-apply-and-what-the-grant-can-pay-for" TargetMode="External"/><Relationship Id="rId34" Type="http://schemas.openxmlformats.org/officeDocument/2006/relationships/hyperlink" Target="https://southdownstrust.org.uk/renature-fund/" TargetMode="External"/><Relationship Id="rId42" Type="http://schemas.openxmlformats.org/officeDocument/2006/relationships/hyperlink" Target="https://www.bathnes.gov.uk/funding-finder" TargetMode="External"/><Relationship Id="rId7" Type="http://schemas.openxmlformats.org/officeDocument/2006/relationships/hyperlink" Target="mailto:riverstourphos@wessexwater.co.uk" TargetMode="External"/><Relationship Id="rId2" Type="http://schemas.openxmlformats.org/officeDocument/2006/relationships/hyperlink" Target="https://promar-international.com/thames-valley-catchment-fund/" TargetMode="External"/><Relationship Id="rId16" Type="http://schemas.openxmlformats.org/officeDocument/2006/relationships/hyperlink" Target="https://www.gov.uk/capital-grant-finder" TargetMode="External"/><Relationship Id="rId29" Type="http://schemas.openxmlformats.org/officeDocument/2006/relationships/hyperlink" Target="https://www.cambscf.org.uk/applying/" TargetMode="External"/><Relationship Id="rId1" Type="http://schemas.openxmlformats.org/officeDocument/2006/relationships/hyperlink" Target="https://www.daera-ni.gov.uk/articles/environment-fund-water-quality-improvement-strand" TargetMode="External"/><Relationship Id="rId6" Type="http://schemas.openxmlformats.org/officeDocument/2006/relationships/hyperlink" Target="https://www.bristolavoncatchment.co.uk/contact-us/" TargetMode="External"/><Relationship Id="rId11" Type="http://schemas.openxmlformats.org/officeDocument/2006/relationships/hyperlink" Target="mailto:branchout@nwl.co.uk" TargetMode="External"/><Relationship Id="rId24" Type="http://schemas.openxmlformats.org/officeDocument/2006/relationships/hyperlink" Target="mailto:riverwoods@scottishwildlifetrust.org.uk" TargetMode="External"/><Relationship Id="rId32" Type="http://schemas.openxmlformats.org/officeDocument/2006/relationships/hyperlink" Target="mailto:hqenvinnov@unhcr.org" TargetMode="External"/><Relationship Id="rId37" Type="http://schemas.openxmlformats.org/officeDocument/2006/relationships/hyperlink" Target="https://pla.co.uk/thames-environment-fund?utm_campaign=Thames%20Environment%20Fund&amp;utm_content=335783044&amp;utm_medium=social&amp;utm_source=linkedin&amp;hss_channel=lcp-336010" TargetMode="External"/><Relationship Id="rId40" Type="http://schemas.openxmlformats.org/officeDocument/2006/relationships/hyperlink" Target="https://www.gov.uk/government/publications/water-management-grant-round-2/about-the-water-management-grant-round-2-who-can-apply-and-what-the-grant-can-pay-for" TargetMode="External"/><Relationship Id="rId45" Type="http://schemas.openxmlformats.org/officeDocument/2006/relationships/printerSettings" Target="../printerSettings/printerSettings1.bin"/><Relationship Id="rId5" Type="http://schemas.openxmlformats.org/officeDocument/2006/relationships/hyperlink" Target="https://www.bristolavoncatchment.co.uk/catchment-partnership-fund/how-to-apply/" TargetMode="External"/><Relationship Id="rId15" Type="http://schemas.openxmlformats.org/officeDocument/2006/relationships/hyperlink" Target="https://www.heritagefund.org.uk/funding" TargetMode="External"/><Relationship Id="rId23" Type="http://schemas.openxmlformats.org/officeDocument/2006/relationships/hyperlink" Target="mailto:communitybenefit@foundationscotland.org.uk%0a%0a0131%20524%200300" TargetMode="External"/><Relationship Id="rId28" Type="http://schemas.openxmlformats.org/officeDocument/2006/relationships/hyperlink" Target="https://waterinnovation.challenges.org/water-efficiency-lab/" TargetMode="External"/><Relationship Id="rId36" Type="http://schemas.openxmlformats.org/officeDocument/2006/relationships/hyperlink" Target="https://www.gov.uk/capital-grant-finder" TargetMode="External"/><Relationship Id="rId10" Type="http://schemas.openxmlformats.org/officeDocument/2006/relationships/hyperlink" Target="mailto:partnerships.overflows@southernwater.co.uk" TargetMode="External"/><Relationship Id="rId19" Type="http://schemas.openxmlformats.org/officeDocument/2006/relationships/hyperlink" Target="mailto:enquiries@cambridgecvs.org.uk%0a%0a" TargetMode="External"/><Relationship Id="rId31" Type="http://schemas.openxmlformats.org/officeDocument/2006/relationships/hyperlink" Target="https://www.southhams.gov.uk/node/1475" TargetMode="External"/><Relationship Id="rId44" Type="http://schemas.openxmlformats.org/officeDocument/2006/relationships/hyperlink" Target="https://eyeoncalderdale.com/nfm-technical-guidance/" TargetMode="External"/><Relationship Id="rId4" Type="http://schemas.openxmlformats.org/officeDocument/2006/relationships/hyperlink" Target="https://www.nature.scot/funding-and-projects/nature-restoration-fund/nature-restoration-fund-how-apply" TargetMode="External"/><Relationship Id="rId9" Type="http://schemas.openxmlformats.org/officeDocument/2006/relationships/hyperlink" Target="mailto:catchment.management@wessexwater.co.uk" TargetMode="External"/><Relationship Id="rId14" Type="http://schemas.openxmlformats.org/officeDocument/2006/relationships/hyperlink" Target="mailto:enquire@heritagefund.org.uk" TargetMode="External"/><Relationship Id="rId22" Type="http://schemas.openxmlformats.org/officeDocument/2006/relationships/hyperlink" Target="https://www.cambscf.org.uk/applying/" TargetMode="External"/><Relationship Id="rId27" Type="http://schemas.openxmlformats.org/officeDocument/2006/relationships/hyperlink" Target="https://waterinnovation.challenges.org/breakthrough6/" TargetMode="External"/><Relationship Id="rId30" Type="http://schemas.openxmlformats.org/officeDocument/2006/relationships/hyperlink" Target="https://wellcome.org/about-us/contact-us" TargetMode="External"/><Relationship Id="rId35" Type="http://schemas.openxmlformats.org/officeDocument/2006/relationships/hyperlink" Target="https://southdownstrust.org.uk/apply-for-funding/pounds-for-ponds-fund/" TargetMode="External"/><Relationship Id="rId43" Type="http://schemas.openxmlformats.org/officeDocument/2006/relationships/hyperlink" Target="https://www.southwestwater.co.uk/household/your-services/save-water/water-saving-community-fund" TargetMode="External"/><Relationship Id="rId8" Type="http://schemas.openxmlformats.org/officeDocument/2006/relationships/hyperlink" Target="mailto:somersetphos@wessexwater.co.uk" TargetMode="External"/><Relationship Id="rId3" Type="http://schemas.openxmlformats.org/officeDocument/2006/relationships/hyperlink" Target="https://promar-international.com/thames-valley-catchment-fund/" TargetMode="External"/><Relationship Id="rId12" Type="http://schemas.openxmlformats.org/officeDocument/2006/relationships/hyperlink" Target="mailto:FTF@rpa.gov.uk" TargetMode="External"/><Relationship Id="rId17" Type="http://schemas.openxmlformats.org/officeDocument/2006/relationships/hyperlink" Target="https://defrafarming.blog.gov.uk/2024/04/09/water-restoration-fund-grants-now-available/" TargetMode="External"/><Relationship Id="rId25" Type="http://schemas.openxmlformats.org/officeDocument/2006/relationships/hyperlink" Target="https://southdownstrust.org.uk/community-pitch-2025/" TargetMode="External"/><Relationship Id="rId33" Type="http://schemas.openxmlformats.org/officeDocument/2006/relationships/hyperlink" Target="mailto:revampyourtank@wiltshire.gov.uk%20or%20on%2001225%20718863" TargetMode="External"/><Relationship Id="rId38" Type="http://schemas.openxmlformats.org/officeDocument/2006/relationships/hyperlink" Target="https://www.herefordshire.gov.uk/directories/grants/natural-flood-management-nfm-construction-grant-scheme-march-2027/" TargetMode="External"/><Relationship Id="rId20" Type="http://schemas.openxmlformats.org/officeDocument/2006/relationships/hyperlink" Target="https://esmeefairbairn.org.uk/guidance-for-support/are-we-the-right-funder-for-you/" TargetMode="External"/><Relationship Id="rId41" Type="http://schemas.openxmlformats.org/officeDocument/2006/relationships/hyperlink" Target="https://waterwitness.org/fair-water-action-fund" TargetMode="External"/></Relationships>
</file>

<file path=xl/worksheets/_rels/sheet3.xml.rels><?xml version="1.0" encoding="UTF-8" standalone="yes"?>
<Relationships xmlns="http://schemas.openxmlformats.org/package/2006/relationships"><Relationship Id="rId2" Type="http://schemas.openxmlformats.org/officeDocument/2006/relationships/hyperlink" Target="https://catchmentbasedapproach.org/learn/developing-investible-projects/" TargetMode="External"/><Relationship Id="rId1" Type="http://schemas.openxmlformats.org/officeDocument/2006/relationships/hyperlink" Target="https://ec.europa.eu/info/funding-tenders/opportunities/portal/screen/opportunities/calls-for-proposals?freeTextSearchKeyword=&amp;matchWholeText=true&amp;programmePeriod=2021%20-%202027&amp;destination=null&amp;mission=null&amp;programmeDivisionProspect=null&amp;cpvCode=null&amp;performanceOfDelivery=null&amp;sortQuery=sortStatus&amp;orderBy=asc&amp;onlyTenders=false&amp;topicListKey=topicSearchTablePageState&amp;type=1,0&amp;callIdentifier=null&amp;status=31094501,31094502,31094503&amp;frameworkProgramme=43252405&amp;programmeDivision=null&amp;focusArea=null&amp;geographicalZones=null&amp;crossCuttingPriorities=null&amp;isExactMatch=true&amp;order=DESC&amp;pageNumber=1&amp;pageSize=50&amp;sortBy=startDate"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C1F27F-0CE1-4B42-929F-CFE208F6713D}">
  <sheetPr codeName="Sheet2"/>
  <dimension ref="B2:F15"/>
  <sheetViews>
    <sheetView tabSelected="1" workbookViewId="0">
      <selection activeCell="B3" sqref="B3"/>
    </sheetView>
  </sheetViews>
  <sheetFormatPr baseColWidth="10" defaultColWidth="8.83203125" defaultRowHeight="15" x14ac:dyDescent="0.2"/>
  <cols>
    <col min="1" max="1" width="8.83203125" style="3"/>
    <col min="2" max="2" width="34.1640625" style="3" customWidth="1"/>
    <col min="3" max="5" width="8.83203125" style="3"/>
    <col min="6" max="6" width="53.33203125" style="3" customWidth="1"/>
    <col min="7" max="9" width="8.83203125" style="3"/>
    <col min="10" max="10" width="8.83203125" style="3" customWidth="1"/>
    <col min="11" max="16384" width="8.83203125" style="3"/>
  </cols>
  <sheetData>
    <row r="2" spans="2:6" ht="16" x14ac:dyDescent="0.2">
      <c r="B2" s="17" t="s">
        <v>0</v>
      </c>
    </row>
    <row r="3" spans="2:6" ht="18.75" customHeight="1" thickBot="1" x14ac:dyDescent="0.25">
      <c r="B3" s="18"/>
      <c r="C3" s="16" t="s">
        <v>1</v>
      </c>
    </row>
    <row r="4" spans="2:6" ht="16" hidden="1" x14ac:dyDescent="0.2">
      <c r="B4" s="1" t="s">
        <v>2</v>
      </c>
    </row>
    <row r="5" spans="2:6" ht="16" hidden="1" x14ac:dyDescent="0.2">
      <c r="B5" s="2" t="s">
        <v>3</v>
      </c>
    </row>
    <row r="6" spans="2:6" hidden="1" x14ac:dyDescent="0.2">
      <c r="B6" t="s">
        <v>4</v>
      </c>
    </row>
    <row r="7" spans="2:6" hidden="1" x14ac:dyDescent="0.2">
      <c r="B7" t="s">
        <v>5</v>
      </c>
      <c r="C7" s="3" t="s">
        <v>5</v>
      </c>
    </row>
    <row r="8" spans="2:6" hidden="1" x14ac:dyDescent="0.2">
      <c r="B8" t="s">
        <v>6</v>
      </c>
    </row>
    <row r="9" spans="2:6" hidden="1" x14ac:dyDescent="0.2">
      <c r="B9" t="s">
        <v>7</v>
      </c>
    </row>
    <row r="10" spans="2:6" hidden="1" x14ac:dyDescent="0.2">
      <c r="B10" t="s">
        <v>8</v>
      </c>
    </row>
    <row r="11" spans="2:6" hidden="1" x14ac:dyDescent="0.2">
      <c r="B11" t="s">
        <v>9</v>
      </c>
    </row>
    <row r="12" spans="2:6" hidden="1" x14ac:dyDescent="0.2">
      <c r="B12" t="s">
        <v>10</v>
      </c>
    </row>
    <row r="13" spans="2:6" ht="193" thickBot="1" x14ac:dyDescent="0.25">
      <c r="F13" s="4" t="s">
        <v>11</v>
      </c>
    </row>
    <row r="14" spans="2:6" ht="16" thickBot="1" x14ac:dyDescent="0.25"/>
    <row r="15" spans="2:6" ht="33" thickBot="1" x14ac:dyDescent="0.25">
      <c r="F15" s="5" t="s">
        <v>1127</v>
      </c>
    </row>
  </sheetData>
  <sheetProtection algorithmName="SHA-512" hashValue="X15HFmGiSbGRn6dYh6dD2z2LE5K9/KCe/nNV1pS+i6r01X0RBkd9GKyp760qX7AwPRTy5MShGryXN+Korsv5qQ==" saltValue="25ADv/H+64YNPeVg+lKgwA==" spinCount="100000" sheet="1" objects="1" scenarios="1" selectLockedCells="1"/>
  <dataValidations count="1">
    <dataValidation type="list" allowBlank="1" showInputMessage="1" showErrorMessage="1" sqref="B3" xr:uid="{D9082AD7-CED8-4A18-84A5-CE63A741E1A1}">
      <formula1>$B$4:$B$13</formula1>
    </dataValidation>
  </dataValidations>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filterMode="1"/>
  <dimension ref="B2:S320"/>
  <sheetViews>
    <sheetView topLeftCell="B1" zoomScale="85" zoomScaleNormal="85" workbookViewId="0">
      <pane ySplit="2" topLeftCell="A3" activePane="bottomLeft" state="frozen"/>
      <selection pane="bottomLeft" activeCell="B3" sqref="B3"/>
    </sheetView>
  </sheetViews>
  <sheetFormatPr baseColWidth="10" defaultColWidth="8.83203125" defaultRowHeight="15" x14ac:dyDescent="0.2"/>
  <cols>
    <col min="1" max="1" width="8.83203125" style="3"/>
    <col min="2" max="2" width="32.1640625" style="3" bestFit="1" customWidth="1"/>
    <col min="3" max="3" width="63.33203125" style="11" bestFit="1" customWidth="1"/>
    <col min="4" max="4" width="50.5" style="11" bestFit="1" customWidth="1"/>
    <col min="5" max="5" width="26.6640625" style="11" customWidth="1"/>
    <col min="6" max="6" width="26.6640625" style="3" hidden="1" customWidth="1"/>
    <col min="7" max="7" width="19.6640625" style="11" bestFit="1" customWidth="1"/>
    <col min="8" max="8" width="29.1640625" style="11" customWidth="1"/>
    <col min="9" max="9" width="26.1640625" style="11" bestFit="1" customWidth="1"/>
    <col min="10" max="10" width="58.33203125" style="11" bestFit="1" customWidth="1"/>
    <col min="11" max="11" width="96.83203125" style="11" bestFit="1" customWidth="1"/>
    <col min="12" max="12" width="43.33203125" style="11" customWidth="1"/>
    <col min="13" max="13" width="18.5" style="11" bestFit="1" customWidth="1"/>
    <col min="14" max="14" width="18.5" style="11" customWidth="1"/>
    <col min="15" max="15" width="23.6640625" style="11" bestFit="1" customWidth="1"/>
    <col min="16" max="16" width="23.6640625" style="11" customWidth="1"/>
    <col min="17" max="17" width="32.6640625" style="11" bestFit="1" customWidth="1"/>
    <col min="18" max="16384" width="8.83203125" style="3"/>
  </cols>
  <sheetData>
    <row r="2" spans="2:19" ht="16" x14ac:dyDescent="0.2">
      <c r="B2" s="36" t="s">
        <v>12</v>
      </c>
      <c r="C2" s="37" t="s">
        <v>13</v>
      </c>
      <c r="D2" s="37" t="s">
        <v>14</v>
      </c>
      <c r="E2" s="37" t="s">
        <v>15</v>
      </c>
      <c r="F2" s="6" t="s">
        <v>16</v>
      </c>
      <c r="G2" s="37" t="s">
        <v>17</v>
      </c>
      <c r="H2" s="37" t="s">
        <v>18</v>
      </c>
      <c r="I2" s="37" t="s">
        <v>19</v>
      </c>
      <c r="J2" s="37" t="s">
        <v>20</v>
      </c>
      <c r="K2" s="37" t="s">
        <v>21</v>
      </c>
      <c r="L2" s="37" t="s">
        <v>22</v>
      </c>
      <c r="M2" s="37" t="s">
        <v>23</v>
      </c>
      <c r="N2" s="37" t="s">
        <v>968</v>
      </c>
      <c r="O2" s="37" t="s">
        <v>24</v>
      </c>
      <c r="P2" s="37" t="s">
        <v>977</v>
      </c>
      <c r="Q2" s="37" t="s">
        <v>25</v>
      </c>
      <c r="R2" s="9"/>
      <c r="S2" s="9"/>
    </row>
    <row r="3" spans="2:19" ht="144" x14ac:dyDescent="0.2">
      <c r="B3" s="19" t="s">
        <v>26</v>
      </c>
      <c r="C3" s="19" t="s">
        <v>888</v>
      </c>
      <c r="D3" s="19" t="s">
        <v>27</v>
      </c>
      <c r="E3" s="19" t="s">
        <v>28</v>
      </c>
      <c r="F3" s="7" t="str">
        <f>IF(ISNUMBER(SEARCH('Stakeholder filter'!$B$3, E3)), "Match", "No Match")</f>
        <v>Match</v>
      </c>
      <c r="G3" s="19" t="s">
        <v>29</v>
      </c>
      <c r="H3" s="19" t="s">
        <v>958</v>
      </c>
      <c r="I3" s="19" t="s">
        <v>30</v>
      </c>
      <c r="J3" s="19" t="s">
        <v>349</v>
      </c>
      <c r="K3" s="25" t="s">
        <v>350</v>
      </c>
      <c r="L3" s="19" t="s">
        <v>31</v>
      </c>
      <c r="M3" s="19" t="s">
        <v>32</v>
      </c>
      <c r="N3" s="19" t="s">
        <v>970</v>
      </c>
      <c r="O3" s="19" t="s">
        <v>989</v>
      </c>
      <c r="P3" s="25" t="s">
        <v>350</v>
      </c>
      <c r="Q3" s="19"/>
      <c r="R3" s="9"/>
      <c r="S3" s="9"/>
    </row>
    <row r="4" spans="2:19" ht="112" x14ac:dyDescent="0.2">
      <c r="B4" s="19" t="s">
        <v>26</v>
      </c>
      <c r="C4" s="19" t="s">
        <v>889</v>
      </c>
      <c r="D4" s="19" t="s">
        <v>576</v>
      </c>
      <c r="E4" s="19" t="s">
        <v>577</v>
      </c>
      <c r="F4" s="7" t="str">
        <f>IF(ISNUMBER(SEARCH('Stakeholder filter'!$B$3, E4)), "Match", "No Match")</f>
        <v>Match</v>
      </c>
      <c r="G4" s="19" t="s">
        <v>29</v>
      </c>
      <c r="H4" s="19" t="s">
        <v>958</v>
      </c>
      <c r="I4" s="19" t="s">
        <v>30</v>
      </c>
      <c r="J4" s="19" t="s">
        <v>578</v>
      </c>
      <c r="K4" s="25" t="s">
        <v>579</v>
      </c>
      <c r="L4" s="19" t="s">
        <v>31</v>
      </c>
      <c r="M4" s="19" t="s">
        <v>32</v>
      </c>
      <c r="N4" s="19" t="s">
        <v>970</v>
      </c>
      <c r="O4" s="19" t="s">
        <v>989</v>
      </c>
      <c r="P4" s="19" t="s">
        <v>976</v>
      </c>
      <c r="Q4" s="19"/>
      <c r="R4" s="9"/>
      <c r="S4" s="9"/>
    </row>
    <row r="5" spans="2:19" ht="160" x14ac:dyDescent="0.2">
      <c r="B5" s="19" t="s">
        <v>26</v>
      </c>
      <c r="C5" s="19" t="s">
        <v>979</v>
      </c>
      <c r="D5" s="19" t="s">
        <v>33</v>
      </c>
      <c r="E5" s="19" t="s">
        <v>28</v>
      </c>
      <c r="F5" s="7" t="str">
        <f>IF(ISNUMBER(SEARCH('Stakeholder filter'!$B$3, E5)), "Match", "No Match")</f>
        <v>Match</v>
      </c>
      <c r="G5" s="19" t="s">
        <v>34</v>
      </c>
      <c r="H5" s="19" t="s">
        <v>35</v>
      </c>
      <c r="I5" s="19" t="s">
        <v>36</v>
      </c>
      <c r="J5" s="19" t="s">
        <v>37</v>
      </c>
      <c r="K5" s="25" t="s">
        <v>38</v>
      </c>
      <c r="L5" s="19" t="s">
        <v>31</v>
      </c>
      <c r="M5" s="26">
        <v>45444</v>
      </c>
      <c r="N5" s="26" t="s">
        <v>969</v>
      </c>
      <c r="O5" s="19" t="s">
        <v>989</v>
      </c>
      <c r="P5" s="19" t="s">
        <v>978</v>
      </c>
      <c r="Q5" s="19"/>
      <c r="R5" s="9"/>
      <c r="S5" s="9"/>
    </row>
    <row r="6" spans="2:19" ht="80" x14ac:dyDescent="0.2">
      <c r="B6" s="19" t="s">
        <v>26</v>
      </c>
      <c r="C6" s="19" t="s">
        <v>890</v>
      </c>
      <c r="D6" s="19" t="s">
        <v>352</v>
      </c>
      <c r="E6" s="19" t="s">
        <v>39</v>
      </c>
      <c r="F6" s="7" t="str">
        <f>IF(ISNUMBER(SEARCH('Stakeholder filter'!$B$3, E6)), "Match", "No Match")</f>
        <v>Match</v>
      </c>
      <c r="G6" s="19" t="s">
        <v>353</v>
      </c>
      <c r="H6" s="19" t="s">
        <v>788</v>
      </c>
      <c r="I6" s="19" t="s">
        <v>980</v>
      </c>
      <c r="J6" s="19" t="s">
        <v>980</v>
      </c>
      <c r="K6" s="25" t="s">
        <v>980</v>
      </c>
      <c r="L6" s="19" t="s">
        <v>31</v>
      </c>
      <c r="M6" s="19" t="s">
        <v>818</v>
      </c>
      <c r="N6" s="19" t="s">
        <v>970</v>
      </c>
      <c r="O6" s="19" t="s">
        <v>989</v>
      </c>
      <c r="P6" s="19" t="s">
        <v>351</v>
      </c>
      <c r="Q6" s="19"/>
      <c r="R6" s="9"/>
      <c r="S6" s="9"/>
    </row>
    <row r="7" spans="2:19" ht="112" x14ac:dyDescent="0.2">
      <c r="B7" s="19" t="s">
        <v>40</v>
      </c>
      <c r="C7" s="19" t="s">
        <v>891</v>
      </c>
      <c r="D7" s="19" t="s">
        <v>41</v>
      </c>
      <c r="E7" s="19" t="s">
        <v>5</v>
      </c>
      <c r="F7" s="7" t="str">
        <f>IF(ISNUMBER(SEARCH('Stakeholder filter'!$B$3, E7)), "Match", "No Match")</f>
        <v>Match</v>
      </c>
      <c r="G7" s="19" t="s">
        <v>42</v>
      </c>
      <c r="H7" s="27" t="s">
        <v>43</v>
      </c>
      <c r="I7" s="19" t="s">
        <v>44</v>
      </c>
      <c r="J7" s="19" t="s">
        <v>659</v>
      </c>
      <c r="K7" s="23" t="s">
        <v>981</v>
      </c>
      <c r="L7" s="19" t="s">
        <v>31</v>
      </c>
      <c r="M7" s="19" t="s">
        <v>354</v>
      </c>
      <c r="N7" s="19" t="s">
        <v>970</v>
      </c>
      <c r="O7" s="19" t="s">
        <v>989</v>
      </c>
      <c r="P7" s="19" t="s">
        <v>982</v>
      </c>
      <c r="Q7" s="19"/>
      <c r="R7" s="9"/>
      <c r="S7" s="9"/>
    </row>
    <row r="8" spans="2:19" ht="80" x14ac:dyDescent="0.2">
      <c r="B8" s="19" t="s">
        <v>40</v>
      </c>
      <c r="C8" s="19" t="s">
        <v>46</v>
      </c>
      <c r="D8" s="19" t="s">
        <v>47</v>
      </c>
      <c r="E8" s="19" t="s">
        <v>5</v>
      </c>
      <c r="F8" s="7" t="str">
        <f>IF(ISNUMBER(SEARCH('Stakeholder filter'!$B$3, E8)), "Match", "No Match")</f>
        <v>Match</v>
      </c>
      <c r="G8" s="19" t="s">
        <v>42</v>
      </c>
      <c r="H8" s="19" t="s">
        <v>48</v>
      </c>
      <c r="I8" s="19" t="s">
        <v>49</v>
      </c>
      <c r="J8" s="19" t="s">
        <v>983</v>
      </c>
      <c r="K8" s="25" t="s">
        <v>45</v>
      </c>
      <c r="L8" s="19" t="s">
        <v>31</v>
      </c>
      <c r="M8" s="19" t="s">
        <v>355</v>
      </c>
      <c r="N8" s="19" t="s">
        <v>970</v>
      </c>
      <c r="O8" s="19" t="s">
        <v>989</v>
      </c>
      <c r="P8" s="19" t="s">
        <v>982</v>
      </c>
      <c r="Q8" s="19"/>
      <c r="R8" s="9"/>
      <c r="S8" s="9"/>
    </row>
    <row r="9" spans="2:19" ht="335" x14ac:dyDescent="0.2">
      <c r="B9" s="19" t="s">
        <v>40</v>
      </c>
      <c r="C9" s="19" t="s">
        <v>50</v>
      </c>
      <c r="D9" s="19" t="s">
        <v>51</v>
      </c>
      <c r="E9" s="19" t="s">
        <v>5</v>
      </c>
      <c r="F9" s="7" t="str">
        <f>IF(ISNUMBER(SEARCH('Stakeholder filter'!$B$3, E9)), "Match", "No Match")</f>
        <v>Match</v>
      </c>
      <c r="G9" s="19" t="s">
        <v>52</v>
      </c>
      <c r="H9" s="19" t="s">
        <v>53</v>
      </c>
      <c r="I9" s="19" t="s">
        <v>984</v>
      </c>
      <c r="J9" s="19" t="s">
        <v>984</v>
      </c>
      <c r="K9" s="25" t="s">
        <v>985</v>
      </c>
      <c r="L9" s="19" t="s">
        <v>31</v>
      </c>
      <c r="M9" s="19" t="s">
        <v>971</v>
      </c>
      <c r="N9" s="19" t="s">
        <v>970</v>
      </c>
      <c r="O9" s="19" t="s">
        <v>989</v>
      </c>
      <c r="P9" s="19" t="s">
        <v>54</v>
      </c>
      <c r="Q9" s="19" t="s">
        <v>55</v>
      </c>
      <c r="R9" s="9"/>
      <c r="S9" s="9"/>
    </row>
    <row r="10" spans="2:19" ht="144" x14ac:dyDescent="0.2">
      <c r="B10" s="19" t="s">
        <v>56</v>
      </c>
      <c r="C10" s="19" t="s">
        <v>892</v>
      </c>
      <c r="D10" s="19" t="s">
        <v>57</v>
      </c>
      <c r="E10" s="19" t="s">
        <v>58</v>
      </c>
      <c r="F10" s="7" t="str">
        <f>IF(ISNUMBER(SEARCH('Stakeholder filter'!$B$3, E10)), "Match", "No Match")</f>
        <v>Match</v>
      </c>
      <c r="G10" s="19" t="s">
        <v>59</v>
      </c>
      <c r="H10" s="19" t="s">
        <v>583</v>
      </c>
      <c r="I10" s="19" t="s">
        <v>60</v>
      </c>
      <c r="J10" s="19" t="s">
        <v>986</v>
      </c>
      <c r="K10" s="23" t="s">
        <v>357</v>
      </c>
      <c r="L10" s="19" t="s">
        <v>61</v>
      </c>
      <c r="M10" s="19" t="s">
        <v>356</v>
      </c>
      <c r="N10" s="19" t="s">
        <v>970</v>
      </c>
      <c r="O10" s="19" t="s">
        <v>989</v>
      </c>
      <c r="P10" s="19" t="s">
        <v>987</v>
      </c>
      <c r="Q10" s="19"/>
      <c r="R10" s="9"/>
      <c r="S10" s="9"/>
    </row>
    <row r="11" spans="2:19" ht="179" customHeight="1" x14ac:dyDescent="0.2">
      <c r="B11" s="19" t="s">
        <v>56</v>
      </c>
      <c r="C11" s="19" t="s">
        <v>893</v>
      </c>
      <c r="D11" s="19" t="s">
        <v>62</v>
      </c>
      <c r="E11" s="20" t="s">
        <v>63</v>
      </c>
      <c r="F11" s="7" t="str">
        <f>IF(ISNUMBER(SEARCH('Stakeholder filter'!$B$3, E11)), "Match", "No Match")</f>
        <v>Match</v>
      </c>
      <c r="G11" s="19" t="s">
        <v>59</v>
      </c>
      <c r="H11" s="19" t="s">
        <v>64</v>
      </c>
      <c r="I11" s="19" t="s">
        <v>988</v>
      </c>
      <c r="J11" s="19" t="s">
        <v>65</v>
      </c>
      <c r="K11" s="25" t="s">
        <v>358</v>
      </c>
      <c r="L11" s="19" t="s">
        <v>31</v>
      </c>
      <c r="M11" s="19" t="s">
        <v>819</v>
      </c>
      <c r="N11" s="19" t="s">
        <v>970</v>
      </c>
      <c r="O11" s="19" t="s">
        <v>989</v>
      </c>
      <c r="P11" s="19" t="s">
        <v>358</v>
      </c>
      <c r="Q11" s="19" t="s">
        <v>66</v>
      </c>
      <c r="R11" s="9"/>
      <c r="S11" s="9"/>
    </row>
    <row r="12" spans="2:19" ht="128" x14ac:dyDescent="0.2">
      <c r="B12" s="19" t="s">
        <v>26</v>
      </c>
      <c r="C12" s="19" t="s">
        <v>706</v>
      </c>
      <c r="D12" s="19" t="s">
        <v>67</v>
      </c>
      <c r="E12" s="19" t="s">
        <v>68</v>
      </c>
      <c r="F12" s="7" t="str">
        <f>IF(ISNUMBER(SEARCH('Stakeholder filter'!$B$3, E12)), "Match", "No Match")</f>
        <v>Match</v>
      </c>
      <c r="G12" s="19" t="s">
        <v>69</v>
      </c>
      <c r="H12" s="19" t="s">
        <v>958</v>
      </c>
      <c r="I12" s="19" t="s">
        <v>70</v>
      </c>
      <c r="J12" s="19" t="s">
        <v>71</v>
      </c>
      <c r="K12" s="28" t="s">
        <v>359</v>
      </c>
      <c r="L12" s="19" t="s">
        <v>31</v>
      </c>
      <c r="M12" s="29">
        <v>46447</v>
      </c>
      <c r="N12" s="19" t="s">
        <v>970</v>
      </c>
      <c r="O12" s="19" t="s">
        <v>989</v>
      </c>
      <c r="P12" s="19" t="s">
        <v>359</v>
      </c>
      <c r="Q12" s="25" t="s">
        <v>360</v>
      </c>
      <c r="R12" s="9"/>
      <c r="S12" s="9"/>
    </row>
    <row r="13" spans="2:19" ht="176" x14ac:dyDescent="0.2">
      <c r="B13" s="19" t="s">
        <v>26</v>
      </c>
      <c r="C13" s="19" t="s">
        <v>894</v>
      </c>
      <c r="D13" s="19" t="s">
        <v>72</v>
      </c>
      <c r="E13" s="19" t="s">
        <v>73</v>
      </c>
      <c r="F13" s="7" t="str">
        <f>IF(ISNUMBER(SEARCH('Stakeholder filter'!$B$3, E13)), "Match", "No Match")</f>
        <v>Match</v>
      </c>
      <c r="G13" s="19" t="s">
        <v>74</v>
      </c>
      <c r="H13" s="19" t="s">
        <v>75</v>
      </c>
      <c r="I13" s="30" t="s">
        <v>76</v>
      </c>
      <c r="J13" s="19" t="s">
        <v>77</v>
      </c>
      <c r="K13" s="25" t="s">
        <v>78</v>
      </c>
      <c r="L13" s="19" t="s">
        <v>31</v>
      </c>
      <c r="M13" s="26">
        <v>45962</v>
      </c>
      <c r="N13" s="26" t="s">
        <v>969</v>
      </c>
      <c r="O13" s="19" t="s">
        <v>989</v>
      </c>
      <c r="P13" s="19" t="s">
        <v>990</v>
      </c>
      <c r="Q13" s="19" t="s">
        <v>79</v>
      </c>
      <c r="R13" s="9"/>
      <c r="S13" s="9"/>
    </row>
    <row r="14" spans="2:19" ht="335" x14ac:dyDescent="0.2">
      <c r="B14" s="19" t="s">
        <v>80</v>
      </c>
      <c r="C14" s="19" t="s">
        <v>895</v>
      </c>
      <c r="D14" s="19" t="s">
        <v>81</v>
      </c>
      <c r="E14" s="19" t="s">
        <v>28</v>
      </c>
      <c r="F14" s="7" t="str">
        <f>IF(ISNUMBER(SEARCH('Stakeholder filter'!$B$3, E14)), "Match", "No Match")</f>
        <v>Match</v>
      </c>
      <c r="G14" s="19" t="s">
        <v>82</v>
      </c>
      <c r="H14" s="19" t="s">
        <v>83</v>
      </c>
      <c r="I14" s="19" t="s">
        <v>84</v>
      </c>
      <c r="J14" s="19" t="s">
        <v>85</v>
      </c>
      <c r="K14" s="31" t="s">
        <v>86</v>
      </c>
      <c r="L14" s="19" t="s">
        <v>87</v>
      </c>
      <c r="M14" s="19" t="s">
        <v>361</v>
      </c>
      <c r="N14" s="19" t="s">
        <v>970</v>
      </c>
      <c r="O14" s="25" t="s">
        <v>88</v>
      </c>
      <c r="P14" s="25" t="s">
        <v>88</v>
      </c>
      <c r="Q14" s="19" t="s">
        <v>89</v>
      </c>
      <c r="R14" s="9"/>
      <c r="S14" s="9"/>
    </row>
    <row r="15" spans="2:19" ht="144" x14ac:dyDescent="0.2">
      <c r="B15" s="19" t="s">
        <v>40</v>
      </c>
      <c r="C15" s="19" t="s">
        <v>90</v>
      </c>
      <c r="D15" s="19" t="s">
        <v>91</v>
      </c>
      <c r="E15" s="19" t="s">
        <v>68</v>
      </c>
      <c r="F15" s="7" t="str">
        <f>IF(ISNUMBER(SEARCH('Stakeholder filter'!$B$3, E15)), "Match", "No Match")</f>
        <v>Match</v>
      </c>
      <c r="G15" s="19" t="s">
        <v>92</v>
      </c>
      <c r="H15" s="19" t="s">
        <v>959</v>
      </c>
      <c r="I15" s="19" t="s">
        <v>93</v>
      </c>
      <c r="J15" s="19" t="s">
        <v>94</v>
      </c>
      <c r="K15" s="25" t="s">
        <v>95</v>
      </c>
      <c r="L15" s="19" t="s">
        <v>820</v>
      </c>
      <c r="M15" s="19" t="s">
        <v>362</v>
      </c>
      <c r="N15" s="19" t="s">
        <v>970</v>
      </c>
      <c r="O15" s="19"/>
      <c r="P15" s="19" t="s">
        <v>991</v>
      </c>
      <c r="Q15" s="19" t="s">
        <v>96</v>
      </c>
      <c r="R15" s="9"/>
      <c r="S15" s="9"/>
    </row>
    <row r="16" spans="2:19" ht="144" x14ac:dyDescent="0.2">
      <c r="B16" s="19" t="s">
        <v>40</v>
      </c>
      <c r="C16" s="19" t="s">
        <v>992</v>
      </c>
      <c r="D16" s="19" t="s">
        <v>97</v>
      </c>
      <c r="E16" s="19" t="s">
        <v>68</v>
      </c>
      <c r="F16" s="7" t="str">
        <f>IF(ISNUMBER(SEARCH('Stakeholder filter'!$B$3, E16)), "Match", "No Match")</f>
        <v>Match</v>
      </c>
      <c r="G16" s="19" t="s">
        <v>98</v>
      </c>
      <c r="H16" s="19" t="s">
        <v>960</v>
      </c>
      <c r="I16" s="19" t="s">
        <v>93</v>
      </c>
      <c r="J16" s="19" t="s">
        <v>94</v>
      </c>
      <c r="K16" s="25" t="s">
        <v>99</v>
      </c>
      <c r="L16" s="19" t="s">
        <v>365</v>
      </c>
      <c r="M16" s="19" t="s">
        <v>363</v>
      </c>
      <c r="N16" s="19" t="s">
        <v>970</v>
      </c>
      <c r="O16" s="23"/>
      <c r="P16" s="23" t="s">
        <v>993</v>
      </c>
      <c r="Q16" s="19" t="s">
        <v>100</v>
      </c>
      <c r="R16" s="9"/>
      <c r="S16" s="9"/>
    </row>
    <row r="17" spans="2:19" ht="212" customHeight="1" x14ac:dyDescent="0.2">
      <c r="B17" s="19" t="s">
        <v>40</v>
      </c>
      <c r="C17" s="19" t="s">
        <v>101</v>
      </c>
      <c r="D17" s="19" t="s">
        <v>102</v>
      </c>
      <c r="E17" s="19" t="s">
        <v>68</v>
      </c>
      <c r="F17" s="7" t="str">
        <f>IF(ISNUMBER(SEARCH('Stakeholder filter'!$B$3, E17)), "Match", "No Match")</f>
        <v>Match</v>
      </c>
      <c r="G17" s="19" t="s">
        <v>103</v>
      </c>
      <c r="H17" s="19" t="s">
        <v>961</v>
      </c>
      <c r="I17" s="19" t="s">
        <v>93</v>
      </c>
      <c r="J17" s="19" t="s">
        <v>104</v>
      </c>
      <c r="K17" s="25" t="s">
        <v>105</v>
      </c>
      <c r="L17" s="19" t="s">
        <v>364</v>
      </c>
      <c r="M17" s="19" t="s">
        <v>363</v>
      </c>
      <c r="N17" s="19" t="s">
        <v>970</v>
      </c>
      <c r="O17" s="19"/>
      <c r="P17" s="19" t="s">
        <v>994</v>
      </c>
      <c r="Q17" s="19" t="s">
        <v>106</v>
      </c>
      <c r="R17" s="9"/>
      <c r="S17" s="9"/>
    </row>
    <row r="18" spans="2:19" ht="128" x14ac:dyDescent="0.2">
      <c r="B18" s="19" t="s">
        <v>56</v>
      </c>
      <c r="C18" s="21" t="s">
        <v>107</v>
      </c>
      <c r="D18" s="19" t="s">
        <v>367</v>
      </c>
      <c r="E18" s="19" t="s">
        <v>108</v>
      </c>
      <c r="F18" s="7" t="str">
        <f>IF(ISNUMBER(SEARCH('Stakeholder filter'!$B$3, E18)), "Match", "No Match")</f>
        <v>Match</v>
      </c>
      <c r="G18" s="19" t="s">
        <v>109</v>
      </c>
      <c r="H18" s="19" t="s">
        <v>110</v>
      </c>
      <c r="I18" s="19" t="s">
        <v>366</v>
      </c>
      <c r="J18" s="19"/>
      <c r="K18" s="25" t="s">
        <v>111</v>
      </c>
      <c r="L18" s="19" t="s">
        <v>112</v>
      </c>
      <c r="M18" s="19" t="s">
        <v>113</v>
      </c>
      <c r="N18" s="19" t="s">
        <v>970</v>
      </c>
      <c r="O18" s="19"/>
      <c r="P18" s="19" t="s">
        <v>995</v>
      </c>
      <c r="Q18" s="19" t="s">
        <v>114</v>
      </c>
      <c r="R18" s="9"/>
      <c r="S18" s="9"/>
    </row>
    <row r="19" spans="2:19" ht="112" x14ac:dyDescent="0.2">
      <c r="B19" s="19" t="s">
        <v>40</v>
      </c>
      <c r="C19" s="19" t="s">
        <v>896</v>
      </c>
      <c r="D19" s="19" t="s">
        <v>115</v>
      </c>
      <c r="E19" s="19" t="s">
        <v>116</v>
      </c>
      <c r="F19" s="7" t="str">
        <f>IF(ISNUMBER(SEARCH('Stakeholder filter'!$B$3, E19)), "Match", "No Match")</f>
        <v>Match</v>
      </c>
      <c r="G19" s="19" t="s">
        <v>117</v>
      </c>
      <c r="H19" s="19" t="s">
        <v>962</v>
      </c>
      <c r="I19" s="19" t="s">
        <v>93</v>
      </c>
      <c r="J19" s="19" t="s">
        <v>118</v>
      </c>
      <c r="K19" s="23" t="s">
        <v>368</v>
      </c>
      <c r="L19" s="19" t="s">
        <v>369</v>
      </c>
      <c r="M19" s="19" t="s">
        <v>370</v>
      </c>
      <c r="N19" s="19" t="s">
        <v>970</v>
      </c>
      <c r="O19" s="19"/>
      <c r="P19" s="19" t="s">
        <v>996</v>
      </c>
      <c r="Q19" s="19" t="s">
        <v>119</v>
      </c>
      <c r="R19" s="9"/>
      <c r="S19" s="9"/>
    </row>
    <row r="20" spans="2:19" ht="304" x14ac:dyDescent="0.2">
      <c r="B20" s="19" t="s">
        <v>40</v>
      </c>
      <c r="C20" s="19" t="s">
        <v>897</v>
      </c>
      <c r="D20" s="19" t="s">
        <v>120</v>
      </c>
      <c r="E20" s="19" t="s">
        <v>121</v>
      </c>
      <c r="F20" s="7" t="str">
        <f>IF(ISNUMBER(SEARCH('Stakeholder filter'!$B$3, E20)), "Match", "No Match")</f>
        <v>Match</v>
      </c>
      <c r="G20" s="19" t="s">
        <v>122</v>
      </c>
      <c r="H20" s="19" t="s">
        <v>458</v>
      </c>
      <c r="I20" s="19" t="s">
        <v>123</v>
      </c>
      <c r="J20" s="19" t="s">
        <v>124</v>
      </c>
      <c r="K20" s="25" t="s">
        <v>125</v>
      </c>
      <c r="L20" s="19" t="s">
        <v>126</v>
      </c>
      <c r="M20" s="19" t="s">
        <v>972</v>
      </c>
      <c r="N20" s="19" t="s">
        <v>970</v>
      </c>
      <c r="O20" s="19"/>
      <c r="P20" s="19" t="s">
        <v>997</v>
      </c>
      <c r="Q20" s="25" t="s">
        <v>821</v>
      </c>
      <c r="R20" s="9"/>
      <c r="S20" s="9"/>
    </row>
    <row r="21" spans="2:19" ht="96" x14ac:dyDescent="0.2">
      <c r="B21" s="19" t="s">
        <v>40</v>
      </c>
      <c r="C21" s="19" t="s">
        <v>998</v>
      </c>
      <c r="D21" s="19" t="s">
        <v>127</v>
      </c>
      <c r="E21" s="19" t="s">
        <v>128</v>
      </c>
      <c r="F21" s="7" t="str">
        <f>IF(ISNUMBER(SEARCH('Stakeholder filter'!$B$3, E21)), "Match", "No Match")</f>
        <v>Match</v>
      </c>
      <c r="G21" s="19" t="s">
        <v>129</v>
      </c>
      <c r="H21" s="19" t="s">
        <v>958</v>
      </c>
      <c r="I21" s="19" t="s">
        <v>963</v>
      </c>
      <c r="J21" s="19" t="s">
        <v>963</v>
      </c>
      <c r="K21" s="19" t="s">
        <v>999</v>
      </c>
      <c r="L21" s="19" t="s">
        <v>130</v>
      </c>
      <c r="M21" s="19" t="s">
        <v>131</v>
      </c>
      <c r="N21" s="19" t="s">
        <v>970</v>
      </c>
      <c r="O21" s="19"/>
      <c r="P21" s="19" t="s">
        <v>1000</v>
      </c>
      <c r="Q21" s="19" t="s">
        <v>132</v>
      </c>
      <c r="R21" s="9"/>
      <c r="S21" s="9"/>
    </row>
    <row r="22" spans="2:19" ht="96" x14ac:dyDescent="0.2">
      <c r="B22" s="19" t="s">
        <v>40</v>
      </c>
      <c r="C22" s="19" t="s">
        <v>133</v>
      </c>
      <c r="D22" s="19" t="s">
        <v>134</v>
      </c>
      <c r="E22" s="19" t="s">
        <v>121</v>
      </c>
      <c r="F22" s="7" t="str">
        <f>IF(ISNUMBER(SEARCH('Stakeholder filter'!$B$3, E22)), "Match", "No Match")</f>
        <v>Match</v>
      </c>
      <c r="G22" s="19" t="s">
        <v>135</v>
      </c>
      <c r="H22" s="19" t="s">
        <v>964</v>
      </c>
      <c r="I22" s="19" t="s">
        <v>136</v>
      </c>
      <c r="J22" s="19"/>
      <c r="K22" s="25" t="s">
        <v>137</v>
      </c>
      <c r="L22" s="19" t="s">
        <v>138</v>
      </c>
      <c r="M22" s="19" t="s">
        <v>371</v>
      </c>
      <c r="N22" s="19" t="s">
        <v>970</v>
      </c>
      <c r="O22" s="19"/>
      <c r="P22" s="19" t="s">
        <v>1001</v>
      </c>
      <c r="Q22" s="19"/>
      <c r="R22" s="9"/>
      <c r="S22" s="9"/>
    </row>
    <row r="23" spans="2:19" ht="96" x14ac:dyDescent="0.2">
      <c r="B23" s="19" t="s">
        <v>40</v>
      </c>
      <c r="C23" s="19" t="s">
        <v>139</v>
      </c>
      <c r="D23" s="19" t="s">
        <v>140</v>
      </c>
      <c r="E23" s="19" t="s">
        <v>121</v>
      </c>
      <c r="F23" s="7" t="str">
        <f>IF(ISNUMBER(SEARCH('Stakeholder filter'!$B$3, E23)), "Match", "No Match")</f>
        <v>Match</v>
      </c>
      <c r="G23" s="19" t="s">
        <v>141</v>
      </c>
      <c r="H23" s="19" t="s">
        <v>958</v>
      </c>
      <c r="I23" s="19" t="s">
        <v>142</v>
      </c>
      <c r="J23" s="19" t="s">
        <v>143</v>
      </c>
      <c r="K23" s="19" t="s">
        <v>144</v>
      </c>
      <c r="L23" s="19" t="s">
        <v>145</v>
      </c>
      <c r="M23" s="19" t="s">
        <v>607</v>
      </c>
      <c r="N23" s="19" t="s">
        <v>970</v>
      </c>
      <c r="O23" s="19"/>
      <c r="P23" s="19" t="s">
        <v>1002</v>
      </c>
      <c r="Q23" s="19" t="s">
        <v>146</v>
      </c>
      <c r="R23" s="9"/>
      <c r="S23" s="9"/>
    </row>
    <row r="24" spans="2:19" ht="66" customHeight="1" x14ac:dyDescent="0.2">
      <c r="B24" s="19" t="s">
        <v>56</v>
      </c>
      <c r="C24" s="19" t="s">
        <v>898</v>
      </c>
      <c r="D24" s="19" t="s">
        <v>147</v>
      </c>
      <c r="E24" s="19" t="s">
        <v>108</v>
      </c>
      <c r="F24" s="7" t="str">
        <f>IF(ISNUMBER(SEARCH('Stakeholder filter'!$B$3, E24)), "Match", "No Match")</f>
        <v>Match</v>
      </c>
      <c r="G24" s="19" t="s">
        <v>148</v>
      </c>
      <c r="H24" s="19" t="s">
        <v>965</v>
      </c>
      <c r="I24" s="23" t="s">
        <v>149</v>
      </c>
      <c r="J24" s="19" t="s">
        <v>822</v>
      </c>
      <c r="K24" s="19" t="s">
        <v>150</v>
      </c>
      <c r="L24" s="19" t="s">
        <v>372</v>
      </c>
      <c r="M24" s="19" t="s">
        <v>823</v>
      </c>
      <c r="N24" s="19" t="s">
        <v>970</v>
      </c>
      <c r="O24" s="19"/>
      <c r="P24" s="19" t="s">
        <v>1003</v>
      </c>
      <c r="Q24" s="19" t="s">
        <v>824</v>
      </c>
      <c r="R24" s="9"/>
      <c r="S24" s="9"/>
    </row>
    <row r="25" spans="2:19" ht="409.6" x14ac:dyDescent="0.2">
      <c r="B25" s="19" t="s">
        <v>26</v>
      </c>
      <c r="C25" s="19" t="s">
        <v>899</v>
      </c>
      <c r="D25" s="19" t="s">
        <v>151</v>
      </c>
      <c r="E25" s="19" t="s">
        <v>373</v>
      </c>
      <c r="F25" s="7" t="str">
        <f>IF(ISNUMBER(SEARCH('Stakeholder filter'!$B$3, E25)), "Match", "No Match")</f>
        <v>Match</v>
      </c>
      <c r="G25" s="19" t="s">
        <v>152</v>
      </c>
      <c r="H25" s="19" t="s">
        <v>825</v>
      </c>
      <c r="I25" s="19" t="s">
        <v>374</v>
      </c>
      <c r="J25" s="19" t="s">
        <v>375</v>
      </c>
      <c r="K25" s="23" t="s">
        <v>377</v>
      </c>
      <c r="L25" s="19" t="s">
        <v>376</v>
      </c>
      <c r="M25" s="19" t="s">
        <v>378</v>
      </c>
      <c r="N25" s="19" t="s">
        <v>970</v>
      </c>
      <c r="O25" s="19" t="s">
        <v>379</v>
      </c>
      <c r="P25" s="19" t="s">
        <v>1004</v>
      </c>
      <c r="Q25" s="19"/>
      <c r="R25" s="9"/>
      <c r="S25" s="9"/>
    </row>
    <row r="26" spans="2:19" ht="112" x14ac:dyDescent="0.2">
      <c r="B26" s="19" t="s">
        <v>56</v>
      </c>
      <c r="C26" s="19" t="s">
        <v>153</v>
      </c>
      <c r="D26" s="19" t="s">
        <v>154</v>
      </c>
      <c r="E26" s="19" t="s">
        <v>128</v>
      </c>
      <c r="F26" s="7" t="str">
        <f>IF(ISNUMBER(SEARCH('Stakeholder filter'!$B$3, E26)), "Match", "No Match")</f>
        <v>Match</v>
      </c>
      <c r="G26" s="19" t="s">
        <v>34</v>
      </c>
      <c r="H26" s="27">
        <v>5000</v>
      </c>
      <c r="I26" s="19" t="s">
        <v>383</v>
      </c>
      <c r="J26" s="19" t="s">
        <v>381</v>
      </c>
      <c r="K26" s="19" t="s">
        <v>380</v>
      </c>
      <c r="L26" s="19" t="s">
        <v>382</v>
      </c>
      <c r="M26" s="19" t="s">
        <v>826</v>
      </c>
      <c r="N26" s="19" t="s">
        <v>970</v>
      </c>
      <c r="O26" s="19"/>
      <c r="P26" s="19" t="s">
        <v>1005</v>
      </c>
      <c r="Q26" s="19" t="s">
        <v>155</v>
      </c>
      <c r="R26" s="9"/>
      <c r="S26" s="9"/>
    </row>
    <row r="27" spans="2:19" ht="96" x14ac:dyDescent="0.2">
      <c r="B27" s="19" t="s">
        <v>56</v>
      </c>
      <c r="C27" s="19" t="s">
        <v>156</v>
      </c>
      <c r="D27" s="19" t="s">
        <v>827</v>
      </c>
      <c r="E27" s="19" t="s">
        <v>121</v>
      </c>
      <c r="F27" s="7" t="str">
        <f>IF(ISNUMBER(SEARCH('Stakeholder filter'!$B$3, E27)), "Match", "No Match")</f>
        <v>Match</v>
      </c>
      <c r="G27" s="19" t="s">
        <v>34</v>
      </c>
      <c r="H27" s="19" t="s">
        <v>958</v>
      </c>
      <c r="I27" s="19" t="s">
        <v>828</v>
      </c>
      <c r="J27" s="25" t="s">
        <v>157</v>
      </c>
      <c r="K27" s="19" t="s">
        <v>384</v>
      </c>
      <c r="L27" s="19" t="s">
        <v>158</v>
      </c>
      <c r="M27" s="19" t="s">
        <v>131</v>
      </c>
      <c r="N27" s="19" t="s">
        <v>970</v>
      </c>
      <c r="O27" s="19"/>
      <c r="P27" s="19" t="s">
        <v>1006</v>
      </c>
      <c r="Q27" s="19" t="s">
        <v>159</v>
      </c>
      <c r="R27" s="9"/>
      <c r="S27" s="9"/>
    </row>
    <row r="28" spans="2:19" ht="144" x14ac:dyDescent="0.2">
      <c r="B28" s="19" t="s">
        <v>56</v>
      </c>
      <c r="C28" s="19" t="s">
        <v>900</v>
      </c>
      <c r="D28" s="22" t="s">
        <v>160</v>
      </c>
      <c r="E28" s="19" t="s">
        <v>28</v>
      </c>
      <c r="F28" s="7" t="str">
        <f>IF(ISNUMBER(SEARCH('Stakeholder filter'!$B$3, E28)), "Match", "No Match")</f>
        <v>Match</v>
      </c>
      <c r="G28" s="19" t="s">
        <v>161</v>
      </c>
      <c r="H28" s="19" t="s">
        <v>162</v>
      </c>
      <c r="I28" s="19" t="s">
        <v>163</v>
      </c>
      <c r="J28" s="19" t="s">
        <v>164</v>
      </c>
      <c r="K28" s="19" t="s">
        <v>165</v>
      </c>
      <c r="L28" s="19" t="s">
        <v>166</v>
      </c>
      <c r="M28" s="19" t="s">
        <v>385</v>
      </c>
      <c r="N28" s="19" t="s">
        <v>969</v>
      </c>
      <c r="O28" s="19"/>
      <c r="P28" s="19" t="s">
        <v>1007</v>
      </c>
      <c r="Q28" s="19" t="s">
        <v>167</v>
      </c>
      <c r="R28" s="9"/>
      <c r="S28" s="9"/>
    </row>
    <row r="29" spans="2:19" ht="192" x14ac:dyDescent="0.2">
      <c r="B29" s="19" t="s">
        <v>26</v>
      </c>
      <c r="C29" s="19" t="s">
        <v>901</v>
      </c>
      <c r="D29" s="23" t="s">
        <v>168</v>
      </c>
      <c r="E29" s="19" t="s">
        <v>28</v>
      </c>
      <c r="F29" s="7" t="str">
        <f>IF(ISNUMBER(SEARCH('Stakeholder filter'!$B$3, E29)), "Match", "No Match")</f>
        <v>Match</v>
      </c>
      <c r="G29" s="19" t="s">
        <v>34</v>
      </c>
      <c r="H29" s="19" t="s">
        <v>169</v>
      </c>
      <c r="I29" s="19" t="s">
        <v>829</v>
      </c>
      <c r="J29" s="19" t="s">
        <v>170</v>
      </c>
      <c r="K29" s="19" t="s">
        <v>171</v>
      </c>
      <c r="L29" s="19" t="s">
        <v>172</v>
      </c>
      <c r="M29" s="19"/>
      <c r="N29" s="19" t="s">
        <v>969</v>
      </c>
      <c r="O29" s="19"/>
      <c r="P29" s="19" t="s">
        <v>1008</v>
      </c>
      <c r="Q29" s="19" t="s">
        <v>173</v>
      </c>
      <c r="R29" s="9"/>
      <c r="S29" s="9"/>
    </row>
    <row r="30" spans="2:19" ht="192" x14ac:dyDescent="0.2">
      <c r="B30" s="19" t="s">
        <v>56</v>
      </c>
      <c r="C30" s="19" t="s">
        <v>902</v>
      </c>
      <c r="D30" s="19" t="s">
        <v>174</v>
      </c>
      <c r="E30" s="19" t="s">
        <v>175</v>
      </c>
      <c r="F30" s="7" t="str">
        <f>IF(ISNUMBER(SEARCH('Stakeholder filter'!$B$3, E30)), "Match", "No Match")</f>
        <v>Match</v>
      </c>
      <c r="G30" s="19" t="s">
        <v>176</v>
      </c>
      <c r="H30" s="19" t="s">
        <v>966</v>
      </c>
      <c r="I30" s="32" t="s">
        <v>177</v>
      </c>
      <c r="J30" s="19" t="s">
        <v>178</v>
      </c>
      <c r="K30" s="19" t="s">
        <v>179</v>
      </c>
      <c r="L30" s="19" t="s">
        <v>180</v>
      </c>
      <c r="M30" s="19" t="s">
        <v>386</v>
      </c>
      <c r="N30" s="19" t="s">
        <v>973</v>
      </c>
      <c r="O30" s="19"/>
      <c r="P30" s="19" t="s">
        <v>180</v>
      </c>
      <c r="Q30" s="19" t="s">
        <v>181</v>
      </c>
      <c r="R30" s="9"/>
      <c r="S30" s="9"/>
    </row>
    <row r="31" spans="2:19" ht="96" x14ac:dyDescent="0.2">
      <c r="B31" s="19" t="s">
        <v>56</v>
      </c>
      <c r="C31" s="19" t="s">
        <v>182</v>
      </c>
      <c r="D31" s="19" t="s">
        <v>183</v>
      </c>
      <c r="E31" s="19" t="s">
        <v>175</v>
      </c>
      <c r="F31" s="7" t="str">
        <f>IF(ISNUMBER(SEARCH('Stakeholder filter'!$B$3, E31)), "Match", "No Match")</f>
        <v>Match</v>
      </c>
      <c r="G31" s="19" t="s">
        <v>176</v>
      </c>
      <c r="H31" s="19" t="s">
        <v>958</v>
      </c>
      <c r="I31" s="19" t="s">
        <v>830</v>
      </c>
      <c r="J31" s="19" t="s">
        <v>184</v>
      </c>
      <c r="K31" s="19" t="s">
        <v>185</v>
      </c>
      <c r="L31" s="19" t="s">
        <v>387</v>
      </c>
      <c r="M31" s="19" t="s">
        <v>388</v>
      </c>
      <c r="N31" s="19" t="s">
        <v>970</v>
      </c>
      <c r="O31" s="19"/>
      <c r="P31" s="19" t="s">
        <v>1009</v>
      </c>
      <c r="Q31" s="19" t="s">
        <v>186</v>
      </c>
      <c r="R31" s="9"/>
      <c r="S31" s="9"/>
    </row>
    <row r="32" spans="2:19" ht="144" x14ac:dyDescent="0.2">
      <c r="B32" s="20" t="s">
        <v>26</v>
      </c>
      <c r="C32" s="19" t="s">
        <v>903</v>
      </c>
      <c r="D32" s="19" t="s">
        <v>187</v>
      </c>
      <c r="E32" s="19" t="s">
        <v>28</v>
      </c>
      <c r="F32" s="7" t="str">
        <f>IF(ISNUMBER(SEARCH('Stakeholder filter'!$B$3, E32)), "Match", "No Match")</f>
        <v>Match</v>
      </c>
      <c r="G32" s="19" t="s">
        <v>74</v>
      </c>
      <c r="H32" s="27">
        <v>700000</v>
      </c>
      <c r="I32" s="19" t="s">
        <v>831</v>
      </c>
      <c r="J32" s="19" t="s">
        <v>188</v>
      </c>
      <c r="K32" s="19" t="s">
        <v>189</v>
      </c>
      <c r="L32" s="19" t="s">
        <v>190</v>
      </c>
      <c r="M32" s="19" t="s">
        <v>191</v>
      </c>
      <c r="N32" s="19" t="s">
        <v>969</v>
      </c>
      <c r="O32" s="19" t="s">
        <v>192</v>
      </c>
      <c r="P32" s="19" t="s">
        <v>1010</v>
      </c>
      <c r="Q32" s="19" t="s">
        <v>193</v>
      </c>
      <c r="R32" s="9"/>
      <c r="S32" s="9"/>
    </row>
    <row r="33" spans="2:19" ht="144" x14ac:dyDescent="0.2">
      <c r="B33" s="24" t="s">
        <v>194</v>
      </c>
      <c r="C33" s="19" t="s">
        <v>904</v>
      </c>
      <c r="D33" s="19" t="s">
        <v>195</v>
      </c>
      <c r="E33" s="19" t="s">
        <v>196</v>
      </c>
      <c r="F33" s="7" t="str">
        <f>IF(ISNUMBER(SEARCH('Stakeholder filter'!$B$3, E33)), "Match", "No Match")</f>
        <v>Match</v>
      </c>
      <c r="G33" s="19" t="s">
        <v>197</v>
      </c>
      <c r="H33" s="19" t="s">
        <v>198</v>
      </c>
      <c r="I33" s="19" t="s">
        <v>832</v>
      </c>
      <c r="J33" s="19"/>
      <c r="K33" s="19" t="s">
        <v>199</v>
      </c>
      <c r="L33" s="19" t="s">
        <v>389</v>
      </c>
      <c r="M33" s="19" t="s">
        <v>390</v>
      </c>
      <c r="N33" s="19" t="s">
        <v>973</v>
      </c>
      <c r="O33" s="19"/>
      <c r="P33" s="19" t="s">
        <v>1011</v>
      </c>
      <c r="Q33" s="19" t="s">
        <v>200</v>
      </c>
      <c r="R33" s="9"/>
      <c r="S33" s="9"/>
    </row>
    <row r="34" spans="2:19" ht="128" x14ac:dyDescent="0.2">
      <c r="B34" s="24" t="s">
        <v>40</v>
      </c>
      <c r="C34" s="19" t="s">
        <v>201</v>
      </c>
      <c r="D34" s="19" t="s">
        <v>391</v>
      </c>
      <c r="E34" s="19" t="s">
        <v>121</v>
      </c>
      <c r="F34" s="7" t="str">
        <f>IF(ISNUMBER(SEARCH('Stakeholder filter'!$B$3, E34)), "Match", "No Match")</f>
        <v>Match</v>
      </c>
      <c r="G34" s="19" t="s">
        <v>202</v>
      </c>
      <c r="H34" s="19" t="s">
        <v>833</v>
      </c>
      <c r="I34" s="19" t="s">
        <v>203</v>
      </c>
      <c r="J34" s="19" t="s">
        <v>204</v>
      </c>
      <c r="K34" s="19" t="s">
        <v>834</v>
      </c>
      <c r="L34" s="19" t="s">
        <v>392</v>
      </c>
      <c r="M34" s="19" t="s">
        <v>304</v>
      </c>
      <c r="N34" s="19" t="s">
        <v>970</v>
      </c>
      <c r="O34" s="19"/>
      <c r="P34" s="19" t="s">
        <v>1012</v>
      </c>
      <c r="Q34" s="19" t="s">
        <v>205</v>
      </c>
      <c r="R34" s="9"/>
      <c r="S34" s="9"/>
    </row>
    <row r="35" spans="2:19" ht="93.75" hidden="1" customHeight="1" x14ac:dyDescent="0.2">
      <c r="B35" s="7" t="s">
        <v>56</v>
      </c>
      <c r="C35" s="7" t="s">
        <v>206</v>
      </c>
      <c r="D35" s="7" t="s">
        <v>207</v>
      </c>
      <c r="E35" s="7"/>
      <c r="F35" s="7" t="str">
        <f>IF(ISNUMBER(SEARCH('Stakeholder filter'!$B$3, E35)), "Match", "No Match")</f>
        <v>No Match</v>
      </c>
      <c r="G35" s="7" t="s">
        <v>393</v>
      </c>
      <c r="H35" s="7" t="s">
        <v>958</v>
      </c>
      <c r="I35" s="7" t="s">
        <v>203</v>
      </c>
      <c r="J35" s="7" t="s">
        <v>208</v>
      </c>
      <c r="K35" s="7" t="s">
        <v>209</v>
      </c>
      <c r="L35" s="7" t="s">
        <v>394</v>
      </c>
      <c r="M35" s="7" t="s">
        <v>395</v>
      </c>
      <c r="N35" s="7" t="s">
        <v>969</v>
      </c>
      <c r="O35" s="7" t="s">
        <v>210</v>
      </c>
      <c r="P35" s="7" t="s">
        <v>1013</v>
      </c>
      <c r="Q35" s="7" t="s">
        <v>211</v>
      </c>
      <c r="R35" s="9"/>
      <c r="S35" s="9"/>
    </row>
    <row r="36" spans="2:19" ht="112" x14ac:dyDescent="0.2">
      <c r="B36" s="24" t="s">
        <v>40</v>
      </c>
      <c r="C36" s="19" t="s">
        <v>905</v>
      </c>
      <c r="D36" s="19" t="s">
        <v>212</v>
      </c>
      <c r="E36" s="19" t="s">
        <v>121</v>
      </c>
      <c r="F36" s="7" t="str">
        <f>IF(ISNUMBER(SEARCH('Stakeholder filter'!$B$3, E36)), "Match", "No Match")</f>
        <v>Match</v>
      </c>
      <c r="G36" s="19" t="s">
        <v>213</v>
      </c>
      <c r="H36" s="19" t="s">
        <v>214</v>
      </c>
      <c r="I36" s="19" t="s">
        <v>396</v>
      </c>
      <c r="J36" s="19" t="s">
        <v>396</v>
      </c>
      <c r="K36" s="19" t="s">
        <v>215</v>
      </c>
      <c r="L36" s="19" t="s">
        <v>215</v>
      </c>
      <c r="M36" s="19" t="s">
        <v>216</v>
      </c>
      <c r="N36" s="19" t="s">
        <v>970</v>
      </c>
      <c r="O36" s="19"/>
      <c r="P36" s="19" t="s">
        <v>1014</v>
      </c>
      <c r="Q36" s="19" t="s">
        <v>217</v>
      </c>
      <c r="R36" s="9"/>
      <c r="S36" s="9"/>
    </row>
    <row r="37" spans="2:19" ht="160" x14ac:dyDescent="0.2">
      <c r="B37" s="24" t="s">
        <v>40</v>
      </c>
      <c r="C37" s="19" t="s">
        <v>906</v>
      </c>
      <c r="D37" s="19" t="s">
        <v>218</v>
      </c>
      <c r="E37" s="19" t="s">
        <v>121</v>
      </c>
      <c r="F37" s="7" t="str">
        <f>IF(ISNUMBER(SEARCH('Stakeholder filter'!$B$3, E37)), "Match", "No Match")</f>
        <v>Match</v>
      </c>
      <c r="G37" s="19" t="s">
        <v>219</v>
      </c>
      <c r="H37" s="19" t="s">
        <v>958</v>
      </c>
      <c r="I37" s="19" t="s">
        <v>220</v>
      </c>
      <c r="J37" s="19" t="s">
        <v>221</v>
      </c>
      <c r="K37" s="19" t="s">
        <v>222</v>
      </c>
      <c r="L37" s="19" t="s">
        <v>223</v>
      </c>
      <c r="M37" s="19" t="s">
        <v>224</v>
      </c>
      <c r="N37" s="19" t="s">
        <v>970</v>
      </c>
      <c r="O37" s="19"/>
      <c r="P37" s="19" t="s">
        <v>1015</v>
      </c>
      <c r="Q37" s="19"/>
      <c r="R37" s="9"/>
      <c r="S37" s="9"/>
    </row>
    <row r="38" spans="2:19" ht="224" x14ac:dyDescent="0.2">
      <c r="B38" s="19" t="s">
        <v>56</v>
      </c>
      <c r="C38" s="19" t="s">
        <v>225</v>
      </c>
      <c r="D38" s="19" t="s">
        <v>226</v>
      </c>
      <c r="E38" s="19" t="s">
        <v>121</v>
      </c>
      <c r="F38" s="7" t="str">
        <f>IF(ISNUMBER(SEARCH('Stakeholder filter'!$B$3, E38)), "Match", "No Match")</f>
        <v>Match</v>
      </c>
      <c r="G38" s="19" t="s">
        <v>227</v>
      </c>
      <c r="H38" s="27">
        <v>5000</v>
      </c>
      <c r="I38" s="19" t="s">
        <v>228</v>
      </c>
      <c r="J38" s="19" t="s">
        <v>229</v>
      </c>
      <c r="K38" s="19" t="s">
        <v>230</v>
      </c>
      <c r="L38" s="30" t="s">
        <v>397</v>
      </c>
      <c r="M38" s="19" t="s">
        <v>328</v>
      </c>
      <c r="N38" s="19" t="s">
        <v>969</v>
      </c>
      <c r="O38" s="19" t="s">
        <v>398</v>
      </c>
      <c r="P38" s="19" t="s">
        <v>1016</v>
      </c>
      <c r="Q38" s="19"/>
      <c r="R38" s="9"/>
      <c r="S38" s="9"/>
    </row>
    <row r="39" spans="2:19" ht="160" x14ac:dyDescent="0.2">
      <c r="B39" s="19" t="s">
        <v>26</v>
      </c>
      <c r="C39" s="19" t="s">
        <v>231</v>
      </c>
      <c r="D39" s="19" t="s">
        <v>232</v>
      </c>
      <c r="E39" s="19" t="s">
        <v>121</v>
      </c>
      <c r="F39" s="7" t="str">
        <f>IF(ISNUMBER(SEARCH('Stakeholder filter'!$B$3, E39)), "Match", "No Match")</f>
        <v>Match</v>
      </c>
      <c r="G39" s="19" t="s">
        <v>233</v>
      </c>
      <c r="H39" s="19" t="s">
        <v>214</v>
      </c>
      <c r="I39" s="19" t="s">
        <v>234</v>
      </c>
      <c r="J39" s="19" t="s">
        <v>399</v>
      </c>
      <c r="K39" s="19" t="s">
        <v>235</v>
      </c>
      <c r="L39" s="19" t="s">
        <v>236</v>
      </c>
      <c r="M39" s="19" t="s">
        <v>835</v>
      </c>
      <c r="N39" s="19" t="s">
        <v>970</v>
      </c>
      <c r="O39" s="19" t="s">
        <v>236</v>
      </c>
      <c r="P39" s="19" t="s">
        <v>1017</v>
      </c>
      <c r="Q39" s="19" t="s">
        <v>237</v>
      </c>
      <c r="R39" s="9"/>
      <c r="S39" s="9"/>
    </row>
    <row r="40" spans="2:19" ht="192" x14ac:dyDescent="0.2">
      <c r="B40" s="19" t="s">
        <v>26</v>
      </c>
      <c r="C40" s="19" t="s">
        <v>238</v>
      </c>
      <c r="D40" s="19" t="s">
        <v>836</v>
      </c>
      <c r="E40" s="20" t="s">
        <v>28</v>
      </c>
      <c r="F40" s="7" t="str">
        <f>IF(ISNUMBER(SEARCH('Stakeholder filter'!$B$3, E40)), "Match", "No Match")</f>
        <v>Match</v>
      </c>
      <c r="G40" s="19" t="s">
        <v>161</v>
      </c>
      <c r="H40" s="19" t="s">
        <v>239</v>
      </c>
      <c r="I40" s="19" t="s">
        <v>240</v>
      </c>
      <c r="J40" s="19" t="s">
        <v>975</v>
      </c>
      <c r="K40" s="19" t="s">
        <v>974</v>
      </c>
      <c r="L40" s="19" t="s">
        <v>974</v>
      </c>
      <c r="M40" s="19" t="s">
        <v>241</v>
      </c>
      <c r="N40" s="19" t="s">
        <v>969</v>
      </c>
      <c r="O40" s="19" t="s">
        <v>974</v>
      </c>
      <c r="P40" s="19" t="s">
        <v>1020</v>
      </c>
      <c r="Q40" s="19" t="s">
        <v>837</v>
      </c>
      <c r="R40" s="9"/>
      <c r="S40" s="9"/>
    </row>
    <row r="41" spans="2:19" ht="304" x14ac:dyDescent="0.2">
      <c r="B41" s="19" t="s">
        <v>242</v>
      </c>
      <c r="C41" s="19" t="s">
        <v>907</v>
      </c>
      <c r="D41" s="19" t="s">
        <v>243</v>
      </c>
      <c r="E41" s="19" t="s">
        <v>244</v>
      </c>
      <c r="F41" s="7" t="str">
        <f>IF(ISNUMBER(SEARCH('Stakeholder filter'!$B$3, E41)), "Match", "No Match")</f>
        <v>Match</v>
      </c>
      <c r="G41" s="19" t="s">
        <v>245</v>
      </c>
      <c r="H41" s="19" t="s">
        <v>958</v>
      </c>
      <c r="I41" s="19" t="s">
        <v>246</v>
      </c>
      <c r="J41" s="19" t="s">
        <v>247</v>
      </c>
      <c r="K41" s="19" t="s">
        <v>248</v>
      </c>
      <c r="L41" s="19" t="s">
        <v>248</v>
      </c>
      <c r="M41" s="19" t="s">
        <v>249</v>
      </c>
      <c r="N41" s="19" t="s">
        <v>973</v>
      </c>
      <c r="O41" s="19"/>
      <c r="P41" s="19" t="s">
        <v>1021</v>
      </c>
      <c r="Q41" s="19" t="s">
        <v>250</v>
      </c>
      <c r="R41" s="9"/>
      <c r="S41" s="9"/>
    </row>
    <row r="42" spans="2:19" ht="112" x14ac:dyDescent="0.2">
      <c r="B42" s="19" t="s">
        <v>26</v>
      </c>
      <c r="C42" s="19" t="s">
        <v>908</v>
      </c>
      <c r="D42" s="19" t="s">
        <v>251</v>
      </c>
      <c r="E42" s="19" t="s">
        <v>116</v>
      </c>
      <c r="F42" s="7" t="str">
        <f>IF(ISNUMBER(SEARCH('Stakeholder filter'!$B$3, E42)), "Match", "No Match")</f>
        <v>Match</v>
      </c>
      <c r="G42" s="19" t="s">
        <v>252</v>
      </c>
      <c r="H42" s="19" t="s">
        <v>253</v>
      </c>
      <c r="I42" s="19" t="s">
        <v>254</v>
      </c>
      <c r="J42" s="19" t="s">
        <v>838</v>
      </c>
      <c r="K42" s="25" t="s">
        <v>255</v>
      </c>
      <c r="L42" s="19" t="s">
        <v>256</v>
      </c>
      <c r="M42" s="19" t="s">
        <v>400</v>
      </c>
      <c r="N42" s="19" t="s">
        <v>969</v>
      </c>
      <c r="O42" s="25" t="s">
        <v>257</v>
      </c>
      <c r="P42" s="25" t="s">
        <v>257</v>
      </c>
      <c r="Q42" s="19"/>
      <c r="R42" s="9"/>
      <c r="S42" s="9"/>
    </row>
    <row r="43" spans="2:19" ht="176" x14ac:dyDescent="0.2">
      <c r="B43" s="19" t="s">
        <v>26</v>
      </c>
      <c r="C43" s="19" t="s">
        <v>909</v>
      </c>
      <c r="D43" s="19" t="s">
        <v>258</v>
      </c>
      <c r="E43" s="19" t="s">
        <v>116</v>
      </c>
      <c r="F43" s="7" t="str">
        <f>IF(ISNUMBER(SEARCH('Stakeholder filter'!$B$3, E43)), "Match", "No Match")</f>
        <v>Match</v>
      </c>
      <c r="G43" s="19" t="s">
        <v>252</v>
      </c>
      <c r="H43" s="19" t="s">
        <v>259</v>
      </c>
      <c r="I43" s="19" t="s">
        <v>260</v>
      </c>
      <c r="J43" s="19" t="s">
        <v>839</v>
      </c>
      <c r="K43" s="25" t="s">
        <v>255</v>
      </c>
      <c r="L43" s="19" t="s">
        <v>261</v>
      </c>
      <c r="M43" s="19" t="s">
        <v>401</v>
      </c>
      <c r="N43" s="19" t="s">
        <v>970</v>
      </c>
      <c r="O43" s="19" t="s">
        <v>262</v>
      </c>
      <c r="P43" s="19" t="s">
        <v>1022</v>
      </c>
      <c r="Q43" s="19"/>
      <c r="R43" s="9"/>
      <c r="S43" s="9"/>
    </row>
    <row r="44" spans="2:19" ht="192" x14ac:dyDescent="0.2">
      <c r="B44" s="19" t="s">
        <v>56</v>
      </c>
      <c r="C44" s="19" t="s">
        <v>910</v>
      </c>
      <c r="D44" s="19" t="s">
        <v>263</v>
      </c>
      <c r="E44" s="19" t="s">
        <v>128</v>
      </c>
      <c r="F44" s="7" t="str">
        <f>IF(ISNUMBER(SEARCH('Stakeholder filter'!$B$3, E44)), "Match", "No Match")</f>
        <v>Match</v>
      </c>
      <c r="G44" s="19" t="s">
        <v>252</v>
      </c>
      <c r="H44" s="19" t="s">
        <v>264</v>
      </c>
      <c r="I44" s="19" t="s">
        <v>265</v>
      </c>
      <c r="J44" s="19" t="s">
        <v>840</v>
      </c>
      <c r="K44" s="25" t="s">
        <v>266</v>
      </c>
      <c r="L44" s="19" t="s">
        <v>267</v>
      </c>
      <c r="M44" s="19" t="s">
        <v>268</v>
      </c>
      <c r="N44" s="19" t="s">
        <v>969</v>
      </c>
      <c r="O44" s="19" t="s">
        <v>269</v>
      </c>
      <c r="P44" s="19" t="s">
        <v>269</v>
      </c>
      <c r="Q44" s="19"/>
      <c r="R44" s="9"/>
      <c r="S44" s="9"/>
    </row>
    <row r="45" spans="2:19" ht="64" x14ac:dyDescent="0.2">
      <c r="B45" s="19" t="s">
        <v>40</v>
      </c>
      <c r="C45" s="19" t="s">
        <v>911</v>
      </c>
      <c r="D45" s="19" t="s">
        <v>270</v>
      </c>
      <c r="E45" s="19" t="s">
        <v>128</v>
      </c>
      <c r="F45" s="7" t="str">
        <f>IF(ISNUMBER(SEARCH('Stakeholder filter'!$B$3, E45)), "Match", "No Match")</f>
        <v>Match</v>
      </c>
      <c r="G45" s="19" t="s">
        <v>271</v>
      </c>
      <c r="H45" s="27">
        <v>15000</v>
      </c>
      <c r="I45" s="19" t="s">
        <v>272</v>
      </c>
      <c r="J45" s="19" t="s">
        <v>841</v>
      </c>
      <c r="K45" s="19" t="s">
        <v>273</v>
      </c>
      <c r="L45" s="25" t="s">
        <v>274</v>
      </c>
      <c r="M45" s="19" t="s">
        <v>275</v>
      </c>
      <c r="N45" s="19" t="s">
        <v>969</v>
      </c>
      <c r="O45" s="19" t="s">
        <v>274</v>
      </c>
      <c r="P45" s="19" t="s">
        <v>1023</v>
      </c>
      <c r="Q45" s="19"/>
      <c r="R45" s="9"/>
      <c r="S45" s="9"/>
    </row>
    <row r="46" spans="2:19" ht="144" x14ac:dyDescent="0.2">
      <c r="B46" s="19" t="s">
        <v>56</v>
      </c>
      <c r="C46" s="19" t="s">
        <v>912</v>
      </c>
      <c r="D46" s="19" t="s">
        <v>276</v>
      </c>
      <c r="E46" s="19" t="s">
        <v>128</v>
      </c>
      <c r="F46" s="7" t="str">
        <f>IF(ISNUMBER(SEARCH('Stakeholder filter'!$B$3, E46)), "Match", "No Match")</f>
        <v>Match</v>
      </c>
      <c r="G46" s="19" t="s">
        <v>34</v>
      </c>
      <c r="H46" s="19" t="s">
        <v>277</v>
      </c>
      <c r="I46" s="19" t="s">
        <v>278</v>
      </c>
      <c r="J46" s="19" t="s">
        <v>842</v>
      </c>
      <c r="K46" s="19" t="s">
        <v>843</v>
      </c>
      <c r="L46" s="19" t="s">
        <v>280</v>
      </c>
      <c r="M46" s="19" t="s">
        <v>281</v>
      </c>
      <c r="N46" s="19" t="s">
        <v>969</v>
      </c>
      <c r="O46" s="19" t="s">
        <v>844</v>
      </c>
      <c r="P46" s="19" t="s">
        <v>1025</v>
      </c>
      <c r="Q46" s="19"/>
      <c r="R46" s="9"/>
      <c r="S46" s="9"/>
    </row>
    <row r="47" spans="2:19" ht="80" x14ac:dyDescent="0.2">
      <c r="B47" s="19" t="s">
        <v>56</v>
      </c>
      <c r="C47" s="19" t="s">
        <v>913</v>
      </c>
      <c r="D47" s="19" t="s">
        <v>283</v>
      </c>
      <c r="E47" s="19" t="s">
        <v>128</v>
      </c>
      <c r="F47" s="7" t="str">
        <f>IF(ISNUMBER(SEARCH('Stakeholder filter'!$B$3, E47)), "Match", "No Match")</f>
        <v>Match</v>
      </c>
      <c r="G47" s="19" t="s">
        <v>34</v>
      </c>
      <c r="H47" s="19" t="s">
        <v>284</v>
      </c>
      <c r="I47" s="19" t="s">
        <v>278</v>
      </c>
      <c r="J47" s="19" t="s">
        <v>845</v>
      </c>
      <c r="K47" s="19" t="s">
        <v>279</v>
      </c>
      <c r="L47" s="19" t="s">
        <v>285</v>
      </c>
      <c r="M47" s="19" t="s">
        <v>286</v>
      </c>
      <c r="N47" s="19" t="s">
        <v>970</v>
      </c>
      <c r="O47" s="19" t="s">
        <v>282</v>
      </c>
      <c r="P47" s="19" t="s">
        <v>1024</v>
      </c>
      <c r="Q47" s="19"/>
      <c r="R47" s="9"/>
      <c r="S47" s="9"/>
    </row>
    <row r="48" spans="2:19" ht="112" x14ac:dyDescent="0.2">
      <c r="B48" s="19" t="s">
        <v>56</v>
      </c>
      <c r="C48" s="19" t="s">
        <v>914</v>
      </c>
      <c r="D48" s="19" t="s">
        <v>287</v>
      </c>
      <c r="E48" s="19" t="s">
        <v>108</v>
      </c>
      <c r="F48" s="7" t="str">
        <f>IF(ISNUMBER(SEARCH('Stakeholder filter'!$B$3, E48)), "Match", "No Match")</f>
        <v>Match</v>
      </c>
      <c r="G48" s="19" t="s">
        <v>252</v>
      </c>
      <c r="H48" s="19" t="s">
        <v>288</v>
      </c>
      <c r="I48" s="19" t="s">
        <v>846</v>
      </c>
      <c r="J48" s="19" t="s">
        <v>289</v>
      </c>
      <c r="K48" s="19" t="s">
        <v>847</v>
      </c>
      <c r="L48" s="19" t="s">
        <v>290</v>
      </c>
      <c r="M48" s="19" t="s">
        <v>291</v>
      </c>
      <c r="N48" s="19" t="s">
        <v>969</v>
      </c>
      <c r="O48" s="19" t="s">
        <v>292</v>
      </c>
      <c r="P48" s="19" t="s">
        <v>1026</v>
      </c>
      <c r="Q48" s="19"/>
      <c r="R48" s="9"/>
      <c r="S48" s="9"/>
    </row>
    <row r="49" spans="2:19" ht="224" x14ac:dyDescent="0.2">
      <c r="B49" s="19" t="s">
        <v>56</v>
      </c>
      <c r="C49" s="19" t="s">
        <v>915</v>
      </c>
      <c r="D49" s="19" t="s">
        <v>160</v>
      </c>
      <c r="E49" s="19" t="s">
        <v>108</v>
      </c>
      <c r="F49" s="7" t="str">
        <f>IF(ISNUMBER(SEARCH('Stakeholder filter'!$B$3, E49)), "Match", "No Match")</f>
        <v>Match</v>
      </c>
      <c r="G49" s="19" t="s">
        <v>161</v>
      </c>
      <c r="H49" s="19" t="s">
        <v>293</v>
      </c>
      <c r="I49" s="19" t="s">
        <v>294</v>
      </c>
      <c r="J49" s="19" t="s">
        <v>848</v>
      </c>
      <c r="K49" s="19" t="s">
        <v>295</v>
      </c>
      <c r="L49" s="19" t="s">
        <v>296</v>
      </c>
      <c r="M49" s="19" t="s">
        <v>297</v>
      </c>
      <c r="N49" s="19" t="s">
        <v>969</v>
      </c>
      <c r="O49" s="19"/>
      <c r="P49" s="19" t="s">
        <v>1007</v>
      </c>
      <c r="Q49" s="19"/>
      <c r="R49" s="9"/>
      <c r="S49" s="9"/>
    </row>
    <row r="50" spans="2:19" ht="96" x14ac:dyDescent="0.2">
      <c r="B50" s="19" t="s">
        <v>26</v>
      </c>
      <c r="C50" s="19" t="s">
        <v>916</v>
      </c>
      <c r="D50" s="19" t="s">
        <v>298</v>
      </c>
      <c r="E50" s="19" t="s">
        <v>299</v>
      </c>
      <c r="F50" s="7" t="str">
        <f>IF(ISNUMBER(SEARCH('Stakeholder filter'!$B$3, E50)), "Match", "No Match")</f>
        <v>Match</v>
      </c>
      <c r="G50" s="19" t="s">
        <v>300</v>
      </c>
      <c r="H50" s="19" t="s">
        <v>958</v>
      </c>
      <c r="I50" s="19" t="s">
        <v>849</v>
      </c>
      <c r="J50" s="19" t="s">
        <v>301</v>
      </c>
      <c r="K50" s="33" t="s">
        <v>302</v>
      </c>
      <c r="L50" s="19" t="s">
        <v>303</v>
      </c>
      <c r="M50" s="19" t="s">
        <v>304</v>
      </c>
      <c r="N50" s="19" t="s">
        <v>970</v>
      </c>
      <c r="O50" s="19" t="s">
        <v>305</v>
      </c>
      <c r="P50" s="19" t="s">
        <v>1027</v>
      </c>
      <c r="Q50" s="19"/>
      <c r="R50" s="9"/>
      <c r="S50" s="9"/>
    </row>
    <row r="51" spans="2:19" ht="144" x14ac:dyDescent="0.2">
      <c r="B51" s="19" t="s">
        <v>26</v>
      </c>
      <c r="C51" s="19" t="s">
        <v>917</v>
      </c>
      <c r="D51" s="19" t="s">
        <v>306</v>
      </c>
      <c r="E51" s="19" t="s">
        <v>121</v>
      </c>
      <c r="F51" s="7" t="str">
        <f>IF(ISNUMBER(SEARCH('Stakeholder filter'!$B$3, E51)), "Match", "No Match")</f>
        <v>Match</v>
      </c>
      <c r="G51" s="19" t="s">
        <v>252</v>
      </c>
      <c r="H51" s="19" t="s">
        <v>307</v>
      </c>
      <c r="I51" s="19" t="s">
        <v>308</v>
      </c>
      <c r="J51" s="19" t="s">
        <v>309</v>
      </c>
      <c r="K51" s="34" t="s">
        <v>310</v>
      </c>
      <c r="L51" s="19" t="s">
        <v>311</v>
      </c>
      <c r="M51" s="19" t="s">
        <v>312</v>
      </c>
      <c r="N51" s="19" t="s">
        <v>969</v>
      </c>
      <c r="O51" s="19" t="s">
        <v>313</v>
      </c>
      <c r="P51" s="19" t="s">
        <v>1028</v>
      </c>
      <c r="Q51" s="19"/>
      <c r="R51" s="9"/>
      <c r="S51" s="9"/>
    </row>
    <row r="52" spans="2:19" ht="96" x14ac:dyDescent="0.2">
      <c r="B52" s="19" t="s">
        <v>26</v>
      </c>
      <c r="C52" s="19" t="s">
        <v>918</v>
      </c>
      <c r="D52" s="19" t="s">
        <v>314</v>
      </c>
      <c r="E52" s="19" t="s">
        <v>116</v>
      </c>
      <c r="F52" s="7" t="str">
        <f>IF(ISNUMBER(SEARCH('Stakeholder filter'!$B$3, E52)), "Match", "No Match")</f>
        <v>Match</v>
      </c>
      <c r="G52" s="19" t="s">
        <v>161</v>
      </c>
      <c r="H52" s="19" t="s">
        <v>958</v>
      </c>
      <c r="I52" s="19" t="s">
        <v>315</v>
      </c>
      <c r="J52" s="19" t="s">
        <v>316</v>
      </c>
      <c r="K52" s="19" t="s">
        <v>317</v>
      </c>
      <c r="L52" s="19" t="s">
        <v>318</v>
      </c>
      <c r="M52" s="19" t="s">
        <v>319</v>
      </c>
      <c r="N52" s="19" t="s">
        <v>969</v>
      </c>
      <c r="O52" s="19" t="s">
        <v>320</v>
      </c>
      <c r="P52" s="19" t="s">
        <v>1029</v>
      </c>
      <c r="Q52" s="19"/>
      <c r="R52" s="9"/>
      <c r="S52" s="9"/>
    </row>
    <row r="53" spans="2:19" ht="176" x14ac:dyDescent="0.2">
      <c r="B53" s="19" t="s">
        <v>26</v>
      </c>
      <c r="C53" s="19" t="s">
        <v>919</v>
      </c>
      <c r="D53" s="19" t="s">
        <v>321</v>
      </c>
      <c r="E53" s="19" t="s">
        <v>116</v>
      </c>
      <c r="F53" s="7" t="str">
        <f>IF(ISNUMBER(SEARCH('Stakeholder filter'!$B$3, E53)), "Match", "No Match")</f>
        <v>Match</v>
      </c>
      <c r="G53" s="19" t="s">
        <v>161</v>
      </c>
      <c r="H53" s="19" t="s">
        <v>322</v>
      </c>
      <c r="I53" s="19" t="s">
        <v>850</v>
      </c>
      <c r="J53" s="19" t="s">
        <v>323</v>
      </c>
      <c r="K53" s="19" t="s">
        <v>317</v>
      </c>
      <c r="L53" s="19" t="s">
        <v>324</v>
      </c>
      <c r="M53" s="35">
        <v>45527</v>
      </c>
      <c r="N53" s="19" t="s">
        <v>969</v>
      </c>
      <c r="O53" s="19" t="s">
        <v>325</v>
      </c>
      <c r="P53" s="19" t="s">
        <v>1030</v>
      </c>
      <c r="Q53" s="19"/>
      <c r="R53" s="9"/>
      <c r="S53" s="9"/>
    </row>
    <row r="54" spans="2:19" ht="176" x14ac:dyDescent="0.2">
      <c r="B54" s="19" t="s">
        <v>26</v>
      </c>
      <c r="C54" s="19" t="s">
        <v>920</v>
      </c>
      <c r="D54" s="19" t="s">
        <v>851</v>
      </c>
      <c r="E54" s="19" t="s">
        <v>116</v>
      </c>
      <c r="F54" s="7" t="str">
        <f>IF(ISNUMBER(SEARCH('Stakeholder filter'!$B$3, E54)), "Match", "No Match")</f>
        <v>Match</v>
      </c>
      <c r="G54" s="19" t="s">
        <v>161</v>
      </c>
      <c r="H54" s="19" t="s">
        <v>958</v>
      </c>
      <c r="I54" s="19" t="s">
        <v>852</v>
      </c>
      <c r="J54" s="19" t="s">
        <v>326</v>
      </c>
      <c r="K54" s="19" t="s">
        <v>317</v>
      </c>
      <c r="L54" s="19" t="s">
        <v>327</v>
      </c>
      <c r="M54" s="35">
        <v>44799</v>
      </c>
      <c r="N54" s="19" t="s">
        <v>969</v>
      </c>
      <c r="O54" s="19" t="s">
        <v>329</v>
      </c>
      <c r="P54" s="19" t="s">
        <v>1031</v>
      </c>
      <c r="Q54" s="19"/>
      <c r="R54" s="9"/>
      <c r="S54" s="9"/>
    </row>
    <row r="55" spans="2:19" ht="144" x14ac:dyDescent="0.2">
      <c r="B55" s="19" t="s">
        <v>56</v>
      </c>
      <c r="C55" s="19" t="s">
        <v>921</v>
      </c>
      <c r="D55" s="19" t="s">
        <v>330</v>
      </c>
      <c r="E55" s="19" t="s">
        <v>331</v>
      </c>
      <c r="F55" s="7" t="str">
        <f>IF(ISNUMBER(SEARCH('Stakeholder filter'!$B$3, E55)), "Match", "No Match")</f>
        <v>Match</v>
      </c>
      <c r="G55" s="19" t="s">
        <v>74</v>
      </c>
      <c r="H55" s="19" t="s">
        <v>214</v>
      </c>
      <c r="I55" s="19" t="s">
        <v>286</v>
      </c>
      <c r="J55" s="19" t="s">
        <v>332</v>
      </c>
      <c r="K55" s="19" t="s">
        <v>333</v>
      </c>
      <c r="L55" s="19" t="s">
        <v>334</v>
      </c>
      <c r="M55" s="19" t="s">
        <v>335</v>
      </c>
      <c r="N55" s="19" t="s">
        <v>969</v>
      </c>
      <c r="O55" s="19" t="s">
        <v>336</v>
      </c>
      <c r="P55" s="19" t="s">
        <v>1032</v>
      </c>
      <c r="Q55" s="19" t="s">
        <v>337</v>
      </c>
      <c r="R55" s="9"/>
      <c r="S55" s="9"/>
    </row>
    <row r="56" spans="2:19" ht="160" x14ac:dyDescent="0.2">
      <c r="B56" s="19" t="s">
        <v>26</v>
      </c>
      <c r="C56" s="19" t="s">
        <v>338</v>
      </c>
      <c r="D56" s="19" t="s">
        <v>339</v>
      </c>
      <c r="E56" s="19" t="s">
        <v>340</v>
      </c>
      <c r="F56" s="7" t="str">
        <f>IF(ISNUMBER(SEARCH('Stakeholder filter'!$B$3, E56)), "Match", "No Match")</f>
        <v>Match</v>
      </c>
      <c r="G56" s="19" t="s">
        <v>74</v>
      </c>
      <c r="H56" s="19" t="s">
        <v>958</v>
      </c>
      <c r="I56" s="19" t="s">
        <v>341</v>
      </c>
      <c r="J56" s="19" t="s">
        <v>342</v>
      </c>
      <c r="K56" s="19" t="s">
        <v>853</v>
      </c>
      <c r="L56" s="19" t="s">
        <v>343</v>
      </c>
      <c r="M56" s="19" t="s">
        <v>403</v>
      </c>
      <c r="N56" s="19" t="s">
        <v>973</v>
      </c>
      <c r="O56" s="19" t="s">
        <v>344</v>
      </c>
      <c r="P56" s="19" t="s">
        <v>1033</v>
      </c>
      <c r="Q56" s="19"/>
      <c r="R56" s="9"/>
      <c r="S56" s="9"/>
    </row>
    <row r="57" spans="2:19" ht="409.6" x14ac:dyDescent="0.2">
      <c r="B57" s="19" t="s">
        <v>26</v>
      </c>
      <c r="C57" s="19" t="s">
        <v>922</v>
      </c>
      <c r="D57" s="19" t="s">
        <v>345</v>
      </c>
      <c r="E57" s="19" t="s">
        <v>340</v>
      </c>
      <c r="F57" s="7" t="str">
        <f>IF(ISNUMBER(SEARCH('Stakeholder filter'!$B$3, E57)), "Match", "No Match")</f>
        <v>Match</v>
      </c>
      <c r="G57" s="19" t="s">
        <v>74</v>
      </c>
      <c r="H57" s="19" t="s">
        <v>958</v>
      </c>
      <c r="I57" s="19" t="s">
        <v>346</v>
      </c>
      <c r="J57" s="19" t="s">
        <v>347</v>
      </c>
      <c r="K57" s="19" t="s">
        <v>853</v>
      </c>
      <c r="L57" s="19" t="s">
        <v>402</v>
      </c>
      <c r="M57" s="19" t="s">
        <v>403</v>
      </c>
      <c r="N57" s="19" t="s">
        <v>973</v>
      </c>
      <c r="O57" s="19" t="s">
        <v>348</v>
      </c>
      <c r="P57" s="19" t="s">
        <v>1034</v>
      </c>
      <c r="Q57" s="19"/>
      <c r="R57" s="9"/>
      <c r="S57" s="9"/>
    </row>
    <row r="58" spans="2:19" ht="192" x14ac:dyDescent="0.2">
      <c r="B58" s="19" t="s">
        <v>56</v>
      </c>
      <c r="C58" s="19" t="s">
        <v>923</v>
      </c>
      <c r="D58" s="19" t="s">
        <v>854</v>
      </c>
      <c r="E58" s="19" t="s">
        <v>404</v>
      </c>
      <c r="F58" s="7" t="str">
        <f>IF(ISNUMBER(SEARCH('Stakeholder filter'!$B$3, E58)), "Match", "No Match")</f>
        <v>Match</v>
      </c>
      <c r="G58" s="19" t="s">
        <v>405</v>
      </c>
      <c r="H58" s="19" t="s">
        <v>406</v>
      </c>
      <c r="I58" s="19" t="s">
        <v>407</v>
      </c>
      <c r="J58" s="19" t="s">
        <v>408</v>
      </c>
      <c r="K58" s="25" t="s">
        <v>409</v>
      </c>
      <c r="L58" s="19" t="s">
        <v>410</v>
      </c>
      <c r="M58" s="19" t="s">
        <v>411</v>
      </c>
      <c r="N58" s="19" t="s">
        <v>970</v>
      </c>
      <c r="O58" s="19" t="s">
        <v>412</v>
      </c>
      <c r="P58" s="19" t="s">
        <v>1035</v>
      </c>
      <c r="Q58" s="19" t="s">
        <v>413</v>
      </c>
      <c r="R58" s="9"/>
      <c r="S58" s="9"/>
    </row>
    <row r="59" spans="2:19" ht="192" x14ac:dyDescent="0.2">
      <c r="B59" s="19" t="s">
        <v>26</v>
      </c>
      <c r="C59" s="19" t="s">
        <v>924</v>
      </c>
      <c r="D59" s="19" t="s">
        <v>414</v>
      </c>
      <c r="E59" s="19" t="s">
        <v>415</v>
      </c>
      <c r="F59" s="7" t="str">
        <f>IF(ISNUMBER(SEARCH('Stakeholder filter'!$B$3, E59)), "Match", "No Match")</f>
        <v>Match</v>
      </c>
      <c r="G59" s="19" t="s">
        <v>252</v>
      </c>
      <c r="H59" s="19" t="s">
        <v>416</v>
      </c>
      <c r="I59" s="19" t="s">
        <v>417</v>
      </c>
      <c r="J59" s="19" t="s">
        <v>418</v>
      </c>
      <c r="K59" s="19" t="s">
        <v>419</v>
      </c>
      <c r="L59" s="19" t="s">
        <v>420</v>
      </c>
      <c r="M59" s="19" t="s">
        <v>421</v>
      </c>
      <c r="N59" s="19" t="s">
        <v>970</v>
      </c>
      <c r="O59" s="19" t="s">
        <v>422</v>
      </c>
      <c r="P59" s="19" t="s">
        <v>1036</v>
      </c>
      <c r="Q59" s="19"/>
      <c r="R59" s="9"/>
      <c r="S59" s="9"/>
    </row>
    <row r="60" spans="2:19" ht="256" x14ac:dyDescent="0.2">
      <c r="B60" s="19" t="s">
        <v>26</v>
      </c>
      <c r="C60" s="19" t="s">
        <v>925</v>
      </c>
      <c r="D60" s="19" t="s">
        <v>423</v>
      </c>
      <c r="E60" s="19" t="s">
        <v>415</v>
      </c>
      <c r="F60" s="7" t="str">
        <f>IF(ISNUMBER(SEARCH('Stakeholder filter'!$B$3, E60)), "Match", "No Match")</f>
        <v>Match</v>
      </c>
      <c r="G60" s="19" t="s">
        <v>252</v>
      </c>
      <c r="H60" s="19" t="s">
        <v>424</v>
      </c>
      <c r="I60" s="19" t="s">
        <v>855</v>
      </c>
      <c r="J60" s="19" t="s">
        <v>425</v>
      </c>
      <c r="K60" s="19" t="s">
        <v>426</v>
      </c>
      <c r="L60" s="19" t="s">
        <v>420</v>
      </c>
      <c r="M60" s="19" t="s">
        <v>421</v>
      </c>
      <c r="N60" s="19" t="s">
        <v>970</v>
      </c>
      <c r="O60" s="19" t="s">
        <v>427</v>
      </c>
      <c r="P60" s="19" t="s">
        <v>1037</v>
      </c>
      <c r="Q60" s="19"/>
      <c r="R60" s="9"/>
      <c r="S60" s="9"/>
    </row>
    <row r="61" spans="2:19" ht="192" x14ac:dyDescent="0.2">
      <c r="B61" s="19" t="s">
        <v>56</v>
      </c>
      <c r="C61" s="19" t="s">
        <v>926</v>
      </c>
      <c r="D61" s="19" t="s">
        <v>428</v>
      </c>
      <c r="E61" s="19" t="s">
        <v>404</v>
      </c>
      <c r="F61" s="7" t="str">
        <f>IF(ISNUMBER(SEARCH('Stakeholder filter'!$B$3, E61)), "Match", "No Match")</f>
        <v>Match</v>
      </c>
      <c r="G61" s="19" t="s">
        <v>405</v>
      </c>
      <c r="H61" s="19" t="s">
        <v>214</v>
      </c>
      <c r="I61" s="19"/>
      <c r="J61" s="19" t="s">
        <v>429</v>
      </c>
      <c r="K61" s="25" t="s">
        <v>430</v>
      </c>
      <c r="L61" s="19" t="s">
        <v>431</v>
      </c>
      <c r="M61" s="19" t="s">
        <v>432</v>
      </c>
      <c r="N61" s="19" t="s">
        <v>969</v>
      </c>
      <c r="O61" s="19" t="s">
        <v>433</v>
      </c>
      <c r="P61" s="19" t="s">
        <v>1038</v>
      </c>
      <c r="Q61" s="19"/>
      <c r="R61" s="9"/>
      <c r="S61" s="9"/>
    </row>
    <row r="62" spans="2:19" ht="160" x14ac:dyDescent="0.2">
      <c r="B62" s="19" t="s">
        <v>56</v>
      </c>
      <c r="C62" s="19" t="s">
        <v>927</v>
      </c>
      <c r="D62" s="19" t="s">
        <v>434</v>
      </c>
      <c r="E62" s="19" t="s">
        <v>108</v>
      </c>
      <c r="F62" s="7" t="str">
        <f>IF(ISNUMBER(SEARCH('Stakeholder filter'!$B$3, E62)), "Match", "No Match")</f>
        <v>Match</v>
      </c>
      <c r="G62" s="19" t="s">
        <v>435</v>
      </c>
      <c r="H62" s="19" t="s">
        <v>214</v>
      </c>
      <c r="I62" s="19" t="s">
        <v>436</v>
      </c>
      <c r="J62" s="19" t="s">
        <v>437</v>
      </c>
      <c r="K62" s="19" t="s">
        <v>438</v>
      </c>
      <c r="L62" s="19" t="s">
        <v>439</v>
      </c>
      <c r="M62" s="19" t="s">
        <v>304</v>
      </c>
      <c r="N62" s="19" t="s">
        <v>970</v>
      </c>
      <c r="O62" s="19" t="s">
        <v>440</v>
      </c>
      <c r="P62" s="19" t="s">
        <v>1039</v>
      </c>
      <c r="Q62" s="19"/>
      <c r="R62" s="9"/>
      <c r="S62" s="9"/>
    </row>
    <row r="63" spans="2:19" ht="176" x14ac:dyDescent="0.2">
      <c r="B63" s="19" t="s">
        <v>56</v>
      </c>
      <c r="C63" s="19" t="s">
        <v>928</v>
      </c>
      <c r="D63" s="19" t="s">
        <v>441</v>
      </c>
      <c r="E63" s="19" t="s">
        <v>404</v>
      </c>
      <c r="F63" s="7" t="str">
        <f>IF(ISNUMBER(SEARCH('Stakeholder filter'!$B$3, E63)), "Match", "No Match")</f>
        <v>Match</v>
      </c>
      <c r="G63" s="19" t="s">
        <v>442</v>
      </c>
      <c r="H63" s="19" t="s">
        <v>443</v>
      </c>
      <c r="I63" s="19" t="s">
        <v>444</v>
      </c>
      <c r="J63" s="19" t="s">
        <v>445</v>
      </c>
      <c r="K63" s="28" t="s">
        <v>446</v>
      </c>
      <c r="L63" s="19" t="s">
        <v>447</v>
      </c>
      <c r="M63" s="19" t="s">
        <v>304</v>
      </c>
      <c r="N63" s="19" t="s">
        <v>970</v>
      </c>
      <c r="O63" s="19" t="s">
        <v>448</v>
      </c>
      <c r="P63" s="19" t="s">
        <v>446</v>
      </c>
      <c r="Q63" s="19" t="s">
        <v>856</v>
      </c>
      <c r="R63" s="9"/>
      <c r="S63" s="9"/>
    </row>
    <row r="64" spans="2:19" ht="96" x14ac:dyDescent="0.2">
      <c r="B64" s="19" t="s">
        <v>56</v>
      </c>
      <c r="C64" s="19" t="s">
        <v>929</v>
      </c>
      <c r="D64" s="19" t="s">
        <v>455</v>
      </c>
      <c r="E64" s="19" t="s">
        <v>404</v>
      </c>
      <c r="F64" s="7" t="str">
        <f>IF(ISNUMBER(SEARCH('Stakeholder filter'!$B$3, E64)), "Match", "No Match")</f>
        <v>Match</v>
      </c>
      <c r="G64" s="19" t="s">
        <v>442</v>
      </c>
      <c r="H64" s="19" t="s">
        <v>449</v>
      </c>
      <c r="I64" s="19"/>
      <c r="J64" s="25" t="s">
        <v>450</v>
      </c>
      <c r="K64" s="19" t="s">
        <v>451</v>
      </c>
      <c r="L64" s="19" t="s">
        <v>452</v>
      </c>
      <c r="M64" s="19" t="s">
        <v>453</v>
      </c>
      <c r="N64" s="19" t="s">
        <v>973</v>
      </c>
      <c r="O64" s="19" t="s">
        <v>454</v>
      </c>
      <c r="P64" s="19" t="s">
        <v>450</v>
      </c>
      <c r="Q64" s="19" t="s">
        <v>857</v>
      </c>
      <c r="R64" s="9"/>
      <c r="S64" s="9"/>
    </row>
    <row r="65" spans="2:19" ht="409.6" x14ac:dyDescent="0.2">
      <c r="B65" s="19" t="s">
        <v>56</v>
      </c>
      <c r="C65" s="19" t="s">
        <v>930</v>
      </c>
      <c r="D65" s="19" t="s">
        <v>457</v>
      </c>
      <c r="E65" s="19" t="s">
        <v>404</v>
      </c>
      <c r="F65" s="7" t="str">
        <f>IF(ISNUMBER(SEARCH('Stakeholder filter'!$B$3, E65)), "Match", "No Match")</f>
        <v>Match</v>
      </c>
      <c r="G65" s="19" t="s">
        <v>442</v>
      </c>
      <c r="H65" s="27">
        <v>10000</v>
      </c>
      <c r="I65" s="19" t="s">
        <v>456</v>
      </c>
      <c r="J65" s="19" t="s">
        <v>459</v>
      </c>
      <c r="K65" s="19" t="s">
        <v>459</v>
      </c>
      <c r="L65" s="19" t="s">
        <v>460</v>
      </c>
      <c r="M65" s="19" t="s">
        <v>304</v>
      </c>
      <c r="N65" s="19" t="s">
        <v>970</v>
      </c>
      <c r="O65" s="19" t="s">
        <v>461</v>
      </c>
      <c r="P65" s="19" t="s">
        <v>1040</v>
      </c>
      <c r="Q65" s="19" t="s">
        <v>462</v>
      </c>
      <c r="R65" s="9"/>
      <c r="S65" s="9"/>
    </row>
    <row r="66" spans="2:19" ht="240" x14ac:dyDescent="0.2">
      <c r="B66" s="19" t="s">
        <v>56</v>
      </c>
      <c r="C66" s="19" t="s">
        <v>931</v>
      </c>
      <c r="D66" s="19" t="s">
        <v>463</v>
      </c>
      <c r="E66" s="19" t="s">
        <v>7</v>
      </c>
      <c r="F66" s="7" t="str">
        <f>IF(ISNUMBER(SEARCH('Stakeholder filter'!$B$3, E66)), "Match", "No Match")</f>
        <v>Match</v>
      </c>
      <c r="G66" s="19" t="s">
        <v>464</v>
      </c>
      <c r="H66" s="27">
        <v>25000</v>
      </c>
      <c r="I66" s="19"/>
      <c r="J66" s="28" t="s">
        <v>465</v>
      </c>
      <c r="K66" s="19" t="s">
        <v>465</v>
      </c>
      <c r="L66" s="19" t="s">
        <v>466</v>
      </c>
      <c r="M66" s="19" t="s">
        <v>304</v>
      </c>
      <c r="N66" s="19" t="s">
        <v>970</v>
      </c>
      <c r="O66" s="19" t="s">
        <v>467</v>
      </c>
      <c r="P66" s="19" t="s">
        <v>465</v>
      </c>
      <c r="Q66" s="19" t="s">
        <v>468</v>
      </c>
      <c r="R66" s="9"/>
      <c r="S66" s="9"/>
    </row>
    <row r="67" spans="2:19" ht="409.6" x14ac:dyDescent="0.2">
      <c r="B67" s="24" t="s">
        <v>40</v>
      </c>
      <c r="C67" s="19" t="s">
        <v>932</v>
      </c>
      <c r="D67" s="19" t="s">
        <v>469</v>
      </c>
      <c r="E67" s="19" t="s">
        <v>858</v>
      </c>
      <c r="F67" s="7" t="str">
        <f>IF(ISNUMBER(SEARCH('Stakeholder filter'!$B$3, E67)), "Match", "No Match")</f>
        <v>Match</v>
      </c>
      <c r="G67" s="19" t="s">
        <v>470</v>
      </c>
      <c r="H67" s="19" t="s">
        <v>214</v>
      </c>
      <c r="I67" s="19" t="s">
        <v>471</v>
      </c>
      <c r="J67" s="19" t="s">
        <v>472</v>
      </c>
      <c r="K67" s="25" t="s">
        <v>473</v>
      </c>
      <c r="L67" s="19" t="s">
        <v>474</v>
      </c>
      <c r="M67" s="19" t="s">
        <v>304</v>
      </c>
      <c r="N67" s="19" t="s">
        <v>970</v>
      </c>
      <c r="O67" s="19" t="s">
        <v>859</v>
      </c>
      <c r="P67" s="19" t="s">
        <v>1041</v>
      </c>
      <c r="Q67" s="19" t="s">
        <v>475</v>
      </c>
      <c r="R67" s="9"/>
      <c r="S67" s="9"/>
    </row>
    <row r="68" spans="2:19" ht="350" x14ac:dyDescent="0.2">
      <c r="B68" s="24" t="s">
        <v>40</v>
      </c>
      <c r="C68" s="19" t="s">
        <v>933</v>
      </c>
      <c r="D68" s="19" t="s">
        <v>476</v>
      </c>
      <c r="E68" s="19" t="s">
        <v>477</v>
      </c>
      <c r="F68" s="7" t="str">
        <f>IF(ISNUMBER(SEARCH('Stakeholder filter'!$B$3, E68)), "Match", "No Match")</f>
        <v>Match</v>
      </c>
      <c r="G68" s="19" t="s">
        <v>478</v>
      </c>
      <c r="H68" s="19" t="s">
        <v>479</v>
      </c>
      <c r="I68" s="19" t="s">
        <v>480</v>
      </c>
      <c r="J68" s="19" t="s">
        <v>481</v>
      </c>
      <c r="K68" s="19" t="s">
        <v>482</v>
      </c>
      <c r="L68" s="19" t="s">
        <v>483</v>
      </c>
      <c r="M68" s="19" t="s">
        <v>214</v>
      </c>
      <c r="N68" s="19" t="s">
        <v>970</v>
      </c>
      <c r="O68" s="19" t="s">
        <v>484</v>
      </c>
      <c r="P68" s="19" t="s">
        <v>1042</v>
      </c>
      <c r="Q68" s="19" t="s">
        <v>485</v>
      </c>
      <c r="R68" s="9"/>
      <c r="S68" s="9"/>
    </row>
    <row r="69" spans="2:19" ht="272" x14ac:dyDescent="0.2">
      <c r="B69" s="19" t="s">
        <v>26</v>
      </c>
      <c r="C69" s="19" t="s">
        <v>934</v>
      </c>
      <c r="D69" s="19" t="s">
        <v>486</v>
      </c>
      <c r="E69" s="19" t="s">
        <v>108</v>
      </c>
      <c r="F69" s="7" t="str">
        <f>IF(ISNUMBER(SEARCH('Stakeholder filter'!$B$3, E69)), "Match", "No Match")</f>
        <v>Match</v>
      </c>
      <c r="G69" s="19" t="s">
        <v>435</v>
      </c>
      <c r="H69" s="27">
        <v>100000</v>
      </c>
      <c r="I69" s="19" t="s">
        <v>487</v>
      </c>
      <c r="J69" s="19" t="s">
        <v>488</v>
      </c>
      <c r="K69" s="19" t="s">
        <v>489</v>
      </c>
      <c r="L69" s="19" t="s">
        <v>490</v>
      </c>
      <c r="M69" s="19" t="s">
        <v>491</v>
      </c>
      <c r="N69" s="19" t="s">
        <v>970</v>
      </c>
      <c r="O69" s="19" t="s">
        <v>492</v>
      </c>
      <c r="P69" s="19" t="s">
        <v>1043</v>
      </c>
      <c r="Q69" s="19"/>
      <c r="R69" s="9"/>
      <c r="S69" s="9"/>
    </row>
    <row r="70" spans="2:19" ht="176" x14ac:dyDescent="0.2">
      <c r="B70" s="19" t="s">
        <v>26</v>
      </c>
      <c r="C70" s="19" t="s">
        <v>935</v>
      </c>
      <c r="D70" s="19" t="s">
        <v>493</v>
      </c>
      <c r="E70" s="19" t="s">
        <v>108</v>
      </c>
      <c r="F70" s="7" t="str">
        <f>IF(ISNUMBER(SEARCH('Stakeholder filter'!$B$3, E70)), "Match", "No Match")</f>
        <v>Match</v>
      </c>
      <c r="G70" s="19" t="s">
        <v>435</v>
      </c>
      <c r="H70" s="19" t="s">
        <v>494</v>
      </c>
      <c r="I70" s="19"/>
      <c r="J70" s="19" t="s">
        <v>495</v>
      </c>
      <c r="K70" s="25" t="s">
        <v>496</v>
      </c>
      <c r="L70" s="19" t="s">
        <v>497</v>
      </c>
      <c r="M70" s="19" t="s">
        <v>498</v>
      </c>
      <c r="N70" s="19" t="s">
        <v>969</v>
      </c>
      <c r="O70" s="19" t="s">
        <v>495</v>
      </c>
      <c r="P70" s="19" t="s">
        <v>1044</v>
      </c>
      <c r="Q70" s="19"/>
      <c r="R70" s="9"/>
      <c r="S70" s="9"/>
    </row>
    <row r="71" spans="2:19" ht="240" x14ac:dyDescent="0.2">
      <c r="B71" s="19" t="s">
        <v>26</v>
      </c>
      <c r="C71" s="19" t="s">
        <v>936</v>
      </c>
      <c r="D71" s="19" t="s">
        <v>499</v>
      </c>
      <c r="E71" s="19" t="s">
        <v>108</v>
      </c>
      <c r="F71" s="7" t="str">
        <f>IF(ISNUMBER(SEARCH('Stakeholder filter'!$B$3, E71)), "Match", "No Match")</f>
        <v>Match</v>
      </c>
      <c r="G71" s="19" t="s">
        <v>435</v>
      </c>
      <c r="H71" s="19" t="s">
        <v>500</v>
      </c>
      <c r="I71" s="19" t="s">
        <v>501</v>
      </c>
      <c r="J71" s="19" t="s">
        <v>860</v>
      </c>
      <c r="K71" s="25" t="s">
        <v>502</v>
      </c>
      <c r="L71" s="19" t="s">
        <v>503</v>
      </c>
      <c r="M71" s="19" t="s">
        <v>504</v>
      </c>
      <c r="N71" s="19" t="s">
        <v>970</v>
      </c>
      <c r="O71" s="19" t="s">
        <v>860</v>
      </c>
      <c r="P71" s="19" t="s">
        <v>1045</v>
      </c>
      <c r="Q71" s="19" t="s">
        <v>861</v>
      </c>
      <c r="R71" s="9"/>
      <c r="S71" s="9"/>
    </row>
    <row r="72" spans="2:19" ht="335" x14ac:dyDescent="0.2">
      <c r="B72" s="19" t="s">
        <v>26</v>
      </c>
      <c r="C72" s="19" t="s">
        <v>937</v>
      </c>
      <c r="D72" s="19" t="s">
        <v>505</v>
      </c>
      <c r="E72" s="19" t="s">
        <v>108</v>
      </c>
      <c r="F72" s="7" t="str">
        <f>IF(ISNUMBER(SEARCH('Stakeholder filter'!$B$3, E72)), "Match", "No Match")</f>
        <v>Match</v>
      </c>
      <c r="G72" s="19" t="s">
        <v>435</v>
      </c>
      <c r="H72" s="19" t="s">
        <v>506</v>
      </c>
      <c r="I72" s="19" t="s">
        <v>862</v>
      </c>
      <c r="J72" s="19" t="s">
        <v>863</v>
      </c>
      <c r="K72" s="19" t="s">
        <v>507</v>
      </c>
      <c r="L72" s="19" t="s">
        <v>508</v>
      </c>
      <c r="M72" s="19" t="s">
        <v>304</v>
      </c>
      <c r="N72" s="19" t="s">
        <v>970</v>
      </c>
      <c r="O72" s="19" t="s">
        <v>863</v>
      </c>
      <c r="P72" s="19" t="s">
        <v>1046</v>
      </c>
      <c r="Q72" s="19"/>
      <c r="R72" s="9"/>
      <c r="S72" s="9"/>
    </row>
    <row r="73" spans="2:19" ht="176" x14ac:dyDescent="0.2">
      <c r="B73" s="24" t="s">
        <v>40</v>
      </c>
      <c r="C73" s="19" t="s">
        <v>938</v>
      </c>
      <c r="D73" s="19" t="s">
        <v>509</v>
      </c>
      <c r="E73" s="19" t="s">
        <v>510</v>
      </c>
      <c r="F73" s="7" t="str">
        <f>IF(ISNUMBER(SEARCH('Stakeholder filter'!$B$3, E73)), "Match", "No Match")</f>
        <v>Match</v>
      </c>
      <c r="G73" s="19" t="s">
        <v>511</v>
      </c>
      <c r="H73" s="19" t="s">
        <v>307</v>
      </c>
      <c r="I73" s="19" t="s">
        <v>512</v>
      </c>
      <c r="J73" s="19" t="s">
        <v>513</v>
      </c>
      <c r="K73" s="19" t="s">
        <v>514</v>
      </c>
      <c r="L73" s="19" t="s">
        <v>515</v>
      </c>
      <c r="M73" s="19" t="s">
        <v>864</v>
      </c>
      <c r="N73" s="19" t="s">
        <v>970</v>
      </c>
      <c r="O73" s="25" t="s">
        <v>274</v>
      </c>
      <c r="P73" s="25" t="s">
        <v>1047</v>
      </c>
      <c r="Q73" s="19" t="s">
        <v>516</v>
      </c>
      <c r="R73" s="9"/>
      <c r="S73" s="9"/>
    </row>
    <row r="74" spans="2:19" ht="144" x14ac:dyDescent="0.2">
      <c r="B74" s="24" t="s">
        <v>56</v>
      </c>
      <c r="C74" s="19" t="s">
        <v>939</v>
      </c>
      <c r="D74" s="19" t="s">
        <v>865</v>
      </c>
      <c r="E74" s="19" t="s">
        <v>510</v>
      </c>
      <c r="F74" s="7" t="str">
        <f>IF(ISNUMBER(SEARCH('Stakeholder filter'!$B$3, E74)), "Match", "No Match")</f>
        <v>Match</v>
      </c>
      <c r="G74" s="19" t="s">
        <v>517</v>
      </c>
      <c r="H74" s="19" t="s">
        <v>518</v>
      </c>
      <c r="I74" s="19" t="s">
        <v>519</v>
      </c>
      <c r="J74" s="19" t="s">
        <v>520</v>
      </c>
      <c r="K74" s="19" t="s">
        <v>514</v>
      </c>
      <c r="L74" s="19" t="s">
        <v>521</v>
      </c>
      <c r="M74" s="19" t="s">
        <v>522</v>
      </c>
      <c r="N74" s="19" t="s">
        <v>970</v>
      </c>
      <c r="O74" s="19" t="s">
        <v>523</v>
      </c>
      <c r="P74" s="19" t="s">
        <v>1048</v>
      </c>
      <c r="Q74" s="19"/>
      <c r="R74" s="9"/>
      <c r="S74" s="9"/>
    </row>
    <row r="75" spans="2:19" ht="192" x14ac:dyDescent="0.2">
      <c r="B75" s="24" t="s">
        <v>56</v>
      </c>
      <c r="C75" s="19" t="s">
        <v>940</v>
      </c>
      <c r="D75" s="19" t="s">
        <v>524</v>
      </c>
      <c r="E75" s="19" t="s">
        <v>510</v>
      </c>
      <c r="F75" s="7" t="str">
        <f>IF(ISNUMBER(SEARCH('Stakeholder filter'!$B$3, E75)), "Match", "No Match")</f>
        <v>Match</v>
      </c>
      <c r="G75" s="19" t="s">
        <v>527</v>
      </c>
      <c r="H75" s="19" t="s">
        <v>528</v>
      </c>
      <c r="I75" s="23" t="s">
        <v>526</v>
      </c>
      <c r="J75" s="19" t="s">
        <v>525</v>
      </c>
      <c r="K75" s="19" t="s">
        <v>529</v>
      </c>
      <c r="L75" s="19" t="s">
        <v>530</v>
      </c>
      <c r="M75" s="19" t="s">
        <v>531</v>
      </c>
      <c r="N75" s="19" t="s">
        <v>969</v>
      </c>
      <c r="O75" s="19" t="s">
        <v>532</v>
      </c>
      <c r="P75" s="28" t="s">
        <v>1049</v>
      </c>
      <c r="Q75" s="19"/>
      <c r="R75" s="9"/>
      <c r="S75" s="9"/>
    </row>
    <row r="76" spans="2:19" ht="192" x14ac:dyDescent="0.2">
      <c r="B76" s="24" t="s">
        <v>56</v>
      </c>
      <c r="C76" s="19" t="s">
        <v>941</v>
      </c>
      <c r="D76" s="19" t="s">
        <v>866</v>
      </c>
      <c r="E76" s="19" t="s">
        <v>510</v>
      </c>
      <c r="F76" s="7" t="str">
        <f>IF(ISNUMBER(SEARCH('Stakeholder filter'!$B$3, E76)), "Match", "No Match")</f>
        <v>Match</v>
      </c>
      <c r="G76" s="19" t="s">
        <v>541</v>
      </c>
      <c r="H76" s="19" t="s">
        <v>535</v>
      </c>
      <c r="I76" s="19" t="s">
        <v>534</v>
      </c>
      <c r="J76" s="19" t="s">
        <v>537</v>
      </c>
      <c r="K76" s="19" t="s">
        <v>536</v>
      </c>
      <c r="L76" s="19" t="s">
        <v>538</v>
      </c>
      <c r="M76" s="19" t="s">
        <v>539</v>
      </c>
      <c r="N76" s="19" t="s">
        <v>970</v>
      </c>
      <c r="O76" s="19" t="s">
        <v>540</v>
      </c>
      <c r="P76" s="19" t="s">
        <v>1050</v>
      </c>
      <c r="Q76" s="19"/>
      <c r="R76" s="9"/>
      <c r="S76" s="9"/>
    </row>
    <row r="77" spans="2:19" ht="64" x14ac:dyDescent="0.2">
      <c r="B77" s="24" t="s">
        <v>56</v>
      </c>
      <c r="C77" s="19" t="s">
        <v>942</v>
      </c>
      <c r="D77" s="19" t="s">
        <v>867</v>
      </c>
      <c r="E77" s="19" t="s">
        <v>510</v>
      </c>
      <c r="F77" s="7" t="str">
        <f>IF(ISNUMBER(SEARCH('Stakeholder filter'!$B$3, E77)), "Match", "No Match")</f>
        <v>Match</v>
      </c>
      <c r="G77" s="19" t="s">
        <v>542</v>
      </c>
      <c r="H77" s="19" t="s">
        <v>214</v>
      </c>
      <c r="I77" s="19" t="s">
        <v>533</v>
      </c>
      <c r="J77" s="19" t="s">
        <v>543</v>
      </c>
      <c r="K77" s="25" t="s">
        <v>544</v>
      </c>
      <c r="L77" s="19" t="s">
        <v>545</v>
      </c>
      <c r="M77" s="19" t="s">
        <v>304</v>
      </c>
      <c r="N77" s="19" t="s">
        <v>970</v>
      </c>
      <c r="O77" s="19" t="s">
        <v>546</v>
      </c>
      <c r="P77" s="19" t="s">
        <v>1051</v>
      </c>
      <c r="Q77" s="19"/>
      <c r="R77" s="9"/>
      <c r="S77" s="9"/>
    </row>
    <row r="78" spans="2:19" ht="272" x14ac:dyDescent="0.2">
      <c r="B78" s="24" t="s">
        <v>56</v>
      </c>
      <c r="C78" s="19" t="s">
        <v>943</v>
      </c>
      <c r="D78" s="19" t="s">
        <v>547</v>
      </c>
      <c r="E78" s="19" t="s">
        <v>555</v>
      </c>
      <c r="F78" s="7" t="str">
        <f>IF(ISNUMBER(SEARCH('Stakeholder filter'!$B$3, E78)), "Match", "No Match")</f>
        <v>Match</v>
      </c>
      <c r="G78" s="19" t="s">
        <v>548</v>
      </c>
      <c r="H78" s="27">
        <v>15000</v>
      </c>
      <c r="I78" s="19" t="s">
        <v>868</v>
      </c>
      <c r="J78" s="19" t="s">
        <v>549</v>
      </c>
      <c r="K78" s="19" t="s">
        <v>550</v>
      </c>
      <c r="L78" s="19" t="s">
        <v>551</v>
      </c>
      <c r="M78" s="19" t="s">
        <v>552</v>
      </c>
      <c r="N78" s="19" t="s">
        <v>970</v>
      </c>
      <c r="O78" s="19" t="s">
        <v>553</v>
      </c>
      <c r="P78" s="19" t="s">
        <v>550</v>
      </c>
      <c r="Q78" s="19" t="s">
        <v>553</v>
      </c>
      <c r="R78" s="9"/>
      <c r="S78" s="9"/>
    </row>
    <row r="79" spans="2:19" ht="96" x14ac:dyDescent="0.2">
      <c r="B79" s="24" t="s">
        <v>56</v>
      </c>
      <c r="C79" s="19" t="s">
        <v>944</v>
      </c>
      <c r="D79" s="19" t="s">
        <v>554</v>
      </c>
      <c r="E79" s="19" t="s">
        <v>555</v>
      </c>
      <c r="F79" s="7" t="str">
        <f>IF(ISNUMBER(SEARCH('Stakeholder filter'!$B$3, E79)), "Match", "No Match")</f>
        <v>Match</v>
      </c>
      <c r="G79" s="19" t="s">
        <v>548</v>
      </c>
      <c r="H79" s="27">
        <v>100000</v>
      </c>
      <c r="I79" s="19" t="s">
        <v>869</v>
      </c>
      <c r="J79" s="19" t="s">
        <v>556</v>
      </c>
      <c r="K79" s="19" t="s">
        <v>558</v>
      </c>
      <c r="L79" s="19" t="s">
        <v>557</v>
      </c>
      <c r="M79" s="19" t="s">
        <v>559</v>
      </c>
      <c r="N79" s="19" t="s">
        <v>970</v>
      </c>
      <c r="O79" s="19" t="s">
        <v>560</v>
      </c>
      <c r="P79" s="19" t="s">
        <v>1052</v>
      </c>
      <c r="Q79" s="19" t="s">
        <v>560</v>
      </c>
      <c r="R79" s="9"/>
      <c r="S79" s="9"/>
    </row>
    <row r="80" spans="2:19" ht="192" x14ac:dyDescent="0.2">
      <c r="B80" s="19" t="s">
        <v>26</v>
      </c>
      <c r="C80" s="19" t="s">
        <v>945</v>
      </c>
      <c r="D80" s="19" t="s">
        <v>562</v>
      </c>
      <c r="E80" s="19" t="s">
        <v>561</v>
      </c>
      <c r="F80" s="7" t="str">
        <f>IF(ISNUMBER(SEARCH('Stakeholder filter'!$B$3, E80)), "Match", "No Match")</f>
        <v>Match</v>
      </c>
      <c r="G80" s="19" t="s">
        <v>563</v>
      </c>
      <c r="H80" s="19" t="s">
        <v>564</v>
      </c>
      <c r="I80" s="19" t="s">
        <v>565</v>
      </c>
      <c r="J80" s="19" t="s">
        <v>566</v>
      </c>
      <c r="K80" s="19" t="s">
        <v>571</v>
      </c>
      <c r="L80" s="19" t="s">
        <v>567</v>
      </c>
      <c r="M80" s="19" t="s">
        <v>568</v>
      </c>
      <c r="N80" s="19" t="s">
        <v>970</v>
      </c>
      <c r="O80" s="19" t="s">
        <v>569</v>
      </c>
      <c r="P80" s="19" t="s">
        <v>1053</v>
      </c>
      <c r="Q80" s="19" t="s">
        <v>570</v>
      </c>
      <c r="R80" s="9"/>
      <c r="S80" s="9"/>
    </row>
    <row r="81" spans="2:19" ht="80" x14ac:dyDescent="0.2">
      <c r="B81" s="19" t="s">
        <v>26</v>
      </c>
      <c r="C81" s="19" t="s">
        <v>946</v>
      </c>
      <c r="D81" s="19" t="s">
        <v>572</v>
      </c>
      <c r="E81" s="19" t="s">
        <v>555</v>
      </c>
      <c r="F81" s="7" t="str">
        <f>IF(ISNUMBER(SEARCH('Stakeholder filter'!$B$3, E81)), "Match", "No Match")</f>
        <v>Match</v>
      </c>
      <c r="G81" s="19" t="s">
        <v>573</v>
      </c>
      <c r="H81" s="19" t="s">
        <v>958</v>
      </c>
      <c r="I81" s="19" t="s">
        <v>574</v>
      </c>
      <c r="J81" s="19" t="s">
        <v>574</v>
      </c>
      <c r="K81" s="19" t="s">
        <v>575</v>
      </c>
      <c r="L81" s="19" t="s">
        <v>574</v>
      </c>
      <c r="M81" s="19" t="s">
        <v>574</v>
      </c>
      <c r="N81" s="19" t="s">
        <v>970</v>
      </c>
      <c r="O81" s="19" t="s">
        <v>574</v>
      </c>
      <c r="P81" s="28" t="s">
        <v>1054</v>
      </c>
      <c r="Q81" s="19"/>
      <c r="R81" s="9"/>
      <c r="S81" s="9"/>
    </row>
    <row r="82" spans="2:19" ht="160" x14ac:dyDescent="0.2">
      <c r="B82" s="24" t="s">
        <v>56</v>
      </c>
      <c r="C82" s="19" t="s">
        <v>947</v>
      </c>
      <c r="D82" s="19" t="s">
        <v>580</v>
      </c>
      <c r="E82" s="19" t="s">
        <v>7</v>
      </c>
      <c r="F82" s="7" t="str">
        <f>IF(ISNUMBER(SEARCH('Stakeholder filter'!$B$3, E82)), "Match", "No Match")</f>
        <v>Match</v>
      </c>
      <c r="G82" s="19" t="s">
        <v>581</v>
      </c>
      <c r="H82" s="27">
        <v>20000</v>
      </c>
      <c r="I82" s="19" t="s">
        <v>584</v>
      </c>
      <c r="J82" s="23" t="s">
        <v>582</v>
      </c>
      <c r="K82" s="19" t="s">
        <v>585</v>
      </c>
      <c r="L82" s="19" t="s">
        <v>586</v>
      </c>
      <c r="M82" s="19" t="s">
        <v>304</v>
      </c>
      <c r="N82" s="19" t="s">
        <v>970</v>
      </c>
      <c r="O82" s="19" t="s">
        <v>587</v>
      </c>
      <c r="P82" s="19" t="s">
        <v>1055</v>
      </c>
      <c r="Q82" s="19" t="s">
        <v>870</v>
      </c>
      <c r="R82" s="9"/>
      <c r="S82" s="9"/>
    </row>
    <row r="83" spans="2:19" ht="272" x14ac:dyDescent="0.2">
      <c r="B83" s="24" t="s">
        <v>40</v>
      </c>
      <c r="C83" s="19" t="s">
        <v>948</v>
      </c>
      <c r="D83" s="19" t="s">
        <v>588</v>
      </c>
      <c r="E83" s="19" t="s">
        <v>555</v>
      </c>
      <c r="F83" s="7" t="str">
        <f>IF(ISNUMBER(SEARCH('Stakeholder filter'!$B$3, E83)), "Match", "No Match")</f>
        <v>Match</v>
      </c>
      <c r="G83" s="19" t="s">
        <v>591</v>
      </c>
      <c r="H83" s="27">
        <v>1000</v>
      </c>
      <c r="I83" s="19" t="s">
        <v>589</v>
      </c>
      <c r="J83" s="19" t="s">
        <v>590</v>
      </c>
      <c r="K83" s="19" t="s">
        <v>592</v>
      </c>
      <c r="L83" s="19" t="s">
        <v>593</v>
      </c>
      <c r="M83" s="19" t="s">
        <v>304</v>
      </c>
      <c r="N83" s="19" t="s">
        <v>970</v>
      </c>
      <c r="O83" s="19" t="s">
        <v>871</v>
      </c>
      <c r="P83" s="28" t="s">
        <v>1056</v>
      </c>
      <c r="Q83" s="19" t="s">
        <v>594</v>
      </c>
      <c r="R83" s="9"/>
      <c r="S83" s="9"/>
    </row>
    <row r="84" spans="2:19" ht="304" x14ac:dyDescent="0.2">
      <c r="B84" s="24" t="s">
        <v>40</v>
      </c>
      <c r="C84" s="19" t="s">
        <v>949</v>
      </c>
      <c r="D84" s="19" t="s">
        <v>595</v>
      </c>
      <c r="E84" s="19" t="s">
        <v>555</v>
      </c>
      <c r="F84" s="7" t="str">
        <f>IF(ISNUMBER(SEARCH('Stakeholder filter'!$B$3, E84)), "Match", "No Match")</f>
        <v>Match</v>
      </c>
      <c r="G84" s="19" t="s">
        <v>591</v>
      </c>
      <c r="H84" s="27">
        <v>15000</v>
      </c>
      <c r="I84" s="19" t="s">
        <v>872</v>
      </c>
      <c r="J84" s="19" t="s">
        <v>596</v>
      </c>
      <c r="K84" s="19" t="s">
        <v>597</v>
      </c>
      <c r="L84" s="19" t="s">
        <v>598</v>
      </c>
      <c r="M84" s="19" t="s">
        <v>599</v>
      </c>
      <c r="N84" s="19" t="s">
        <v>970</v>
      </c>
      <c r="O84" s="19" t="s">
        <v>873</v>
      </c>
      <c r="P84" s="19" t="s">
        <v>597</v>
      </c>
      <c r="Q84" s="19" t="s">
        <v>600</v>
      </c>
      <c r="R84" s="9"/>
      <c r="S84" s="9"/>
    </row>
    <row r="85" spans="2:19" ht="272" x14ac:dyDescent="0.2">
      <c r="B85" s="24" t="s">
        <v>40</v>
      </c>
      <c r="C85" s="19" t="s">
        <v>601</v>
      </c>
      <c r="D85" s="19" t="s">
        <v>602</v>
      </c>
      <c r="E85" s="19" t="s">
        <v>555</v>
      </c>
      <c r="F85" s="7" t="str">
        <f>IF(ISNUMBER(SEARCH('Stakeholder filter'!$B$3, E85)), "Match", "No Match")</f>
        <v>Match</v>
      </c>
      <c r="G85" s="19" t="s">
        <v>603</v>
      </c>
      <c r="H85" s="27">
        <v>1000</v>
      </c>
      <c r="I85" s="19" t="s">
        <v>589</v>
      </c>
      <c r="J85" s="19" t="s">
        <v>590</v>
      </c>
      <c r="K85" s="19" t="s">
        <v>604</v>
      </c>
      <c r="L85" s="19" t="s">
        <v>605</v>
      </c>
      <c r="M85" s="19" t="s">
        <v>304</v>
      </c>
      <c r="N85" s="19" t="s">
        <v>970</v>
      </c>
      <c r="O85" s="19" t="s">
        <v>874</v>
      </c>
      <c r="P85" s="19" t="s">
        <v>1057</v>
      </c>
      <c r="Q85" s="19" t="s">
        <v>606</v>
      </c>
      <c r="R85" s="9"/>
      <c r="S85" s="9"/>
    </row>
    <row r="86" spans="2:19" ht="288" x14ac:dyDescent="0.2">
      <c r="B86" s="24" t="s">
        <v>1059</v>
      </c>
      <c r="C86" s="19" t="s">
        <v>950</v>
      </c>
      <c r="D86" s="19" t="s">
        <v>608</v>
      </c>
      <c r="E86" s="19" t="s">
        <v>609</v>
      </c>
      <c r="F86" s="7" t="str">
        <f>IF(ISNUMBER(SEARCH('Stakeholder filter'!$B$3, E86)), "Match", "No Match")</f>
        <v>Match</v>
      </c>
      <c r="G86" s="19" t="s">
        <v>34</v>
      </c>
      <c r="H86" s="19" t="s">
        <v>611</v>
      </c>
      <c r="I86" s="19" t="s">
        <v>612</v>
      </c>
      <c r="J86" s="19" t="s">
        <v>610</v>
      </c>
      <c r="K86" s="19" t="s">
        <v>613</v>
      </c>
      <c r="L86" s="19" t="s">
        <v>614</v>
      </c>
      <c r="M86" s="19" t="s">
        <v>615</v>
      </c>
      <c r="N86" s="19" t="s">
        <v>970</v>
      </c>
      <c r="O86" s="19" t="s">
        <v>616</v>
      </c>
      <c r="P86" s="19" t="s">
        <v>1058</v>
      </c>
      <c r="Q86" s="19"/>
      <c r="R86" s="9"/>
      <c r="S86" s="9"/>
    </row>
    <row r="87" spans="2:19" ht="144" x14ac:dyDescent="0.2">
      <c r="B87" s="24" t="s">
        <v>1059</v>
      </c>
      <c r="C87" s="19" t="s">
        <v>951</v>
      </c>
      <c r="D87" s="19" t="s">
        <v>617</v>
      </c>
      <c r="E87" s="19" t="s">
        <v>609</v>
      </c>
      <c r="F87" s="7" t="str">
        <f>IF(ISNUMBER(SEARCH('Stakeholder filter'!$B$3, E87)), "Match", "No Match")</f>
        <v>Match</v>
      </c>
      <c r="G87" s="19" t="s">
        <v>34</v>
      </c>
      <c r="H87" s="19" t="s">
        <v>214</v>
      </c>
      <c r="I87" s="19" t="s">
        <v>618</v>
      </c>
      <c r="J87" s="19" t="s">
        <v>875</v>
      </c>
      <c r="K87" s="19" t="s">
        <v>619</v>
      </c>
      <c r="L87" s="19" t="s">
        <v>620</v>
      </c>
      <c r="M87" s="19" t="s">
        <v>304</v>
      </c>
      <c r="N87" s="19" t="s">
        <v>970</v>
      </c>
      <c r="O87" s="19" t="s">
        <v>621</v>
      </c>
      <c r="P87" s="19" t="s">
        <v>1060</v>
      </c>
      <c r="Q87" s="19"/>
      <c r="R87" s="9"/>
      <c r="S87" s="9"/>
    </row>
    <row r="88" spans="2:19" ht="320" x14ac:dyDescent="0.2">
      <c r="B88" s="19" t="s">
        <v>26</v>
      </c>
      <c r="C88" s="19" t="s">
        <v>952</v>
      </c>
      <c r="D88" s="19" t="s">
        <v>622</v>
      </c>
      <c r="E88" s="19" t="s">
        <v>623</v>
      </c>
      <c r="F88" s="7" t="str">
        <f>IF(ISNUMBER(SEARCH('Stakeholder filter'!$B$3, E88)), "Match", "No Match")</f>
        <v>Match</v>
      </c>
      <c r="G88" s="19" t="s">
        <v>624</v>
      </c>
      <c r="H88" s="19" t="s">
        <v>625</v>
      </c>
      <c r="I88" s="19" t="s">
        <v>626</v>
      </c>
      <c r="J88" s="19" t="s">
        <v>627</v>
      </c>
      <c r="K88" s="19" t="s">
        <v>628</v>
      </c>
      <c r="L88" s="19" t="s">
        <v>629</v>
      </c>
      <c r="M88" s="19" t="s">
        <v>630</v>
      </c>
      <c r="N88" s="19" t="s">
        <v>969</v>
      </c>
      <c r="O88" s="19" t="s">
        <v>631</v>
      </c>
      <c r="P88" s="19" t="s">
        <v>1061</v>
      </c>
      <c r="Q88" s="19"/>
      <c r="R88" s="9"/>
      <c r="S88" s="9"/>
    </row>
    <row r="89" spans="2:19" ht="304" x14ac:dyDescent="0.2">
      <c r="B89" s="19" t="s">
        <v>26</v>
      </c>
      <c r="C89" s="19" t="s">
        <v>953</v>
      </c>
      <c r="D89" s="19" t="s">
        <v>632</v>
      </c>
      <c r="E89" s="19" t="s">
        <v>609</v>
      </c>
      <c r="F89" s="7" t="str">
        <f>IF(ISNUMBER(SEARCH('Stakeholder filter'!$B$3, E89)), "Match", "No Match")</f>
        <v>Match</v>
      </c>
      <c r="G89" s="19" t="s">
        <v>633</v>
      </c>
      <c r="H89" s="27">
        <v>2000</v>
      </c>
      <c r="I89" s="19" t="s">
        <v>634</v>
      </c>
      <c r="J89" s="19" t="s">
        <v>634</v>
      </c>
      <c r="K89" s="25" t="s">
        <v>635</v>
      </c>
      <c r="L89" s="19" t="s">
        <v>636</v>
      </c>
      <c r="M89" s="19" t="s">
        <v>304</v>
      </c>
      <c r="N89" s="19" t="s">
        <v>970</v>
      </c>
      <c r="O89" s="19" t="s">
        <v>637</v>
      </c>
      <c r="P89" s="19" t="s">
        <v>1062</v>
      </c>
      <c r="Q89" s="19"/>
      <c r="R89" s="9"/>
      <c r="S89" s="9"/>
    </row>
    <row r="90" spans="2:19" ht="128" x14ac:dyDescent="0.2">
      <c r="B90" s="24" t="s">
        <v>56</v>
      </c>
      <c r="C90" s="19" t="s">
        <v>954</v>
      </c>
      <c r="D90" s="19" t="s">
        <v>638</v>
      </c>
      <c r="E90" s="19" t="s">
        <v>609</v>
      </c>
      <c r="F90" s="7" t="str">
        <f>IF(ISNUMBER(SEARCH('Stakeholder filter'!$B$3, E90)), "Match", "No Match")</f>
        <v>Match</v>
      </c>
      <c r="G90" s="19" t="s">
        <v>34</v>
      </c>
      <c r="H90" s="19" t="s">
        <v>958</v>
      </c>
      <c r="I90" s="19" t="s">
        <v>639</v>
      </c>
      <c r="J90" s="19" t="s">
        <v>640</v>
      </c>
      <c r="K90" s="19" t="s">
        <v>641</v>
      </c>
      <c r="L90" s="19" t="s">
        <v>642</v>
      </c>
      <c r="M90" s="19" t="s">
        <v>304</v>
      </c>
      <c r="N90" s="19" t="s">
        <v>970</v>
      </c>
      <c r="O90" s="19" t="s">
        <v>643</v>
      </c>
      <c r="P90" s="19" t="s">
        <v>1063</v>
      </c>
      <c r="Q90" s="19" t="s">
        <v>644</v>
      </c>
      <c r="R90" s="9"/>
      <c r="S90" s="9"/>
    </row>
    <row r="91" spans="2:19" ht="224" x14ac:dyDescent="0.2">
      <c r="B91" s="19" t="s">
        <v>26</v>
      </c>
      <c r="C91" s="19" t="s">
        <v>955</v>
      </c>
      <c r="D91" s="19" t="s">
        <v>645</v>
      </c>
      <c r="E91" s="19" t="s">
        <v>876</v>
      </c>
      <c r="F91" s="7" t="str">
        <f>IF(ISNUMBER(SEARCH('Stakeholder filter'!$B$3, E91)), "Match", "No Match")</f>
        <v>Match</v>
      </c>
      <c r="G91" s="19" t="s">
        <v>646</v>
      </c>
      <c r="H91" s="19" t="s">
        <v>647</v>
      </c>
      <c r="I91" s="19" t="s">
        <v>648</v>
      </c>
      <c r="J91" s="19" t="s">
        <v>649</v>
      </c>
      <c r="K91" s="19" t="s">
        <v>650</v>
      </c>
      <c r="L91" s="19" t="s">
        <v>651</v>
      </c>
      <c r="M91" s="19" t="s">
        <v>652</v>
      </c>
      <c r="N91" s="19" t="s">
        <v>970</v>
      </c>
      <c r="O91" s="19" t="s">
        <v>653</v>
      </c>
      <c r="P91" s="19" t="s">
        <v>1064</v>
      </c>
      <c r="Q91" s="19" t="s">
        <v>653</v>
      </c>
      <c r="R91" s="9"/>
      <c r="S91" s="9"/>
    </row>
    <row r="92" spans="2:19" ht="160" x14ac:dyDescent="0.2">
      <c r="B92" s="19" t="s">
        <v>26</v>
      </c>
      <c r="C92" s="19" t="s">
        <v>956</v>
      </c>
      <c r="D92" s="19" t="s">
        <v>654</v>
      </c>
      <c r="E92" s="19" t="s">
        <v>577</v>
      </c>
      <c r="F92" s="7" t="str">
        <f>IF(ISNUMBER(SEARCH('Stakeholder filter'!$B$3, E92)), "Match", "No Match")</f>
        <v>Match</v>
      </c>
      <c r="G92" s="19" t="s">
        <v>34</v>
      </c>
      <c r="H92" s="19" t="s">
        <v>655</v>
      </c>
      <c r="I92" s="19" t="s">
        <v>656</v>
      </c>
      <c r="J92" s="19" t="s">
        <v>656</v>
      </c>
      <c r="K92" s="19" t="s">
        <v>656</v>
      </c>
      <c r="L92" s="19" t="s">
        <v>658</v>
      </c>
      <c r="M92" s="19" t="s">
        <v>657</v>
      </c>
      <c r="N92" s="19" t="s">
        <v>973</v>
      </c>
      <c r="O92" s="19" t="s">
        <v>656</v>
      </c>
      <c r="P92" s="19" t="s">
        <v>1065</v>
      </c>
      <c r="Q92" s="19" t="s">
        <v>877</v>
      </c>
      <c r="R92" s="9"/>
      <c r="S92" s="9"/>
    </row>
    <row r="93" spans="2:19" ht="208" x14ac:dyDescent="0.2">
      <c r="B93" s="19" t="s">
        <v>26</v>
      </c>
      <c r="C93" s="19" t="s">
        <v>957</v>
      </c>
      <c r="D93" s="19" t="s">
        <v>660</v>
      </c>
      <c r="E93" s="19" t="s">
        <v>609</v>
      </c>
      <c r="F93" s="7" t="str">
        <f>IF(ISNUMBER(SEARCH('Stakeholder filter'!$B$3, E93)), "Match", "No Match")</f>
        <v>Match</v>
      </c>
      <c r="G93" s="19" t="s">
        <v>661</v>
      </c>
      <c r="H93" s="19" t="s">
        <v>967</v>
      </c>
      <c r="I93" s="19" t="s">
        <v>662</v>
      </c>
      <c r="J93" s="19" t="s">
        <v>662</v>
      </c>
      <c r="K93" s="19" t="s">
        <v>663</v>
      </c>
      <c r="L93" s="19" t="s">
        <v>664</v>
      </c>
      <c r="M93" s="19" t="s">
        <v>878</v>
      </c>
      <c r="N93" s="19" t="s">
        <v>973</v>
      </c>
      <c r="O93" s="19" t="s">
        <v>662</v>
      </c>
      <c r="P93" s="19" t="s">
        <v>1067</v>
      </c>
      <c r="Q93" s="19" t="s">
        <v>665</v>
      </c>
      <c r="R93" s="9"/>
      <c r="S93" s="9"/>
    </row>
    <row r="94" spans="2:19" ht="144" x14ac:dyDescent="0.2">
      <c r="B94" s="19" t="s">
        <v>26</v>
      </c>
      <c r="C94" s="19" t="s">
        <v>666</v>
      </c>
      <c r="D94" s="19" t="s">
        <v>667</v>
      </c>
      <c r="E94" s="19" t="s">
        <v>577</v>
      </c>
      <c r="F94" s="7" t="str">
        <f>IF(ISNUMBER(SEARCH('Stakeholder filter'!$B$3, E94)), "Match", "No Match")</f>
        <v>Match</v>
      </c>
      <c r="G94" s="19" t="s">
        <v>668</v>
      </c>
      <c r="H94" s="19" t="s">
        <v>669</v>
      </c>
      <c r="I94" s="19" t="s">
        <v>670</v>
      </c>
      <c r="J94" s="19" t="s">
        <v>670</v>
      </c>
      <c r="K94" s="19" t="s">
        <v>671</v>
      </c>
      <c r="L94" s="19" t="s">
        <v>672</v>
      </c>
      <c r="M94" s="19" t="s">
        <v>879</v>
      </c>
      <c r="N94" s="19" t="s">
        <v>973</v>
      </c>
      <c r="O94" s="19" t="s">
        <v>673</v>
      </c>
      <c r="P94" s="19" t="s">
        <v>1066</v>
      </c>
      <c r="Q94" s="19"/>
      <c r="R94" s="9"/>
      <c r="S94" s="9"/>
    </row>
    <row r="95" spans="2:19" ht="128" x14ac:dyDescent="0.2">
      <c r="B95" s="19" t="s">
        <v>26</v>
      </c>
      <c r="C95" s="19" t="s">
        <v>690</v>
      </c>
      <c r="D95" s="19" t="s">
        <v>674</v>
      </c>
      <c r="E95" s="19" t="s">
        <v>577</v>
      </c>
      <c r="F95" s="7" t="str">
        <f>IF(ISNUMBER(SEARCH('Stakeholder filter'!$B$3, E95)), "Match", "No Match")</f>
        <v>Match</v>
      </c>
      <c r="G95" s="19" t="s">
        <v>675</v>
      </c>
      <c r="H95" s="19" t="s">
        <v>214</v>
      </c>
      <c r="I95" s="19" t="s">
        <v>676</v>
      </c>
      <c r="J95" s="19" t="s">
        <v>677</v>
      </c>
      <c r="K95" s="19" t="s">
        <v>678</v>
      </c>
      <c r="L95" s="19" t="s">
        <v>679</v>
      </c>
      <c r="M95" s="26">
        <v>45870</v>
      </c>
      <c r="N95" s="26" t="s">
        <v>969</v>
      </c>
      <c r="O95" s="19" t="s">
        <v>676</v>
      </c>
      <c r="P95" s="19" t="s">
        <v>1068</v>
      </c>
      <c r="Q95" s="19"/>
      <c r="R95" s="9"/>
      <c r="S95" s="9"/>
    </row>
    <row r="96" spans="2:19" ht="256" x14ac:dyDescent="0.2">
      <c r="B96" s="24" t="s">
        <v>56</v>
      </c>
      <c r="C96" s="19" t="s">
        <v>680</v>
      </c>
      <c r="D96" s="19" t="s">
        <v>681</v>
      </c>
      <c r="E96" s="19" t="s">
        <v>577</v>
      </c>
      <c r="F96" s="7" t="str">
        <f>IF(ISNUMBER(SEARCH('Stakeholder filter'!$B$3, E96)), "Match", "No Match")</f>
        <v>Match</v>
      </c>
      <c r="G96" s="19" t="s">
        <v>684</v>
      </c>
      <c r="H96" s="19" t="s">
        <v>958</v>
      </c>
      <c r="I96" s="19" t="s">
        <v>682</v>
      </c>
      <c r="J96" s="19" t="s">
        <v>880</v>
      </c>
      <c r="K96" s="19" t="s">
        <v>683</v>
      </c>
      <c r="L96" s="19" t="s">
        <v>881</v>
      </c>
      <c r="M96" s="19" t="s">
        <v>304</v>
      </c>
      <c r="N96" s="19" t="s">
        <v>970</v>
      </c>
      <c r="O96" s="19"/>
      <c r="P96" s="19" t="s">
        <v>1069</v>
      </c>
      <c r="Q96" s="19"/>
      <c r="R96" s="9"/>
      <c r="S96" s="9"/>
    </row>
    <row r="97" spans="2:19" ht="256" x14ac:dyDescent="0.2">
      <c r="B97" s="24" t="s">
        <v>56</v>
      </c>
      <c r="C97" s="19" t="s">
        <v>685</v>
      </c>
      <c r="D97" s="19" t="s">
        <v>686</v>
      </c>
      <c r="E97" s="19" t="s">
        <v>577</v>
      </c>
      <c r="F97" s="7" t="str">
        <f>IF(ISNUMBER(SEARCH('Stakeholder filter'!$B$3, E97)), "Match", "No Match")</f>
        <v>Match</v>
      </c>
      <c r="G97" s="19" t="s">
        <v>687</v>
      </c>
      <c r="H97" s="19" t="s">
        <v>958</v>
      </c>
      <c r="I97" s="19" t="s">
        <v>688</v>
      </c>
      <c r="J97" s="19" t="s">
        <v>688</v>
      </c>
      <c r="K97" s="19" t="s">
        <v>689</v>
      </c>
      <c r="L97" s="19" t="s">
        <v>882</v>
      </c>
      <c r="M97" s="19" t="s">
        <v>304</v>
      </c>
      <c r="N97" s="19" t="s">
        <v>970</v>
      </c>
      <c r="O97" s="19"/>
      <c r="P97" s="19" t="s">
        <v>1070</v>
      </c>
      <c r="Q97" s="19"/>
      <c r="R97" s="9"/>
      <c r="S97" s="9"/>
    </row>
    <row r="98" spans="2:19" ht="128" x14ac:dyDescent="0.2">
      <c r="B98" s="19" t="s">
        <v>26</v>
      </c>
      <c r="C98" s="19" t="s">
        <v>695</v>
      </c>
      <c r="D98" s="19" t="s">
        <v>691</v>
      </c>
      <c r="E98" s="19" t="s">
        <v>577</v>
      </c>
      <c r="F98" s="7" t="str">
        <f>IF(ISNUMBER(SEARCH('Stakeholder filter'!$B$3, E98)), "Match", "No Match")</f>
        <v>Match</v>
      </c>
      <c r="G98" s="19" t="s">
        <v>34</v>
      </c>
      <c r="H98" s="19" t="s">
        <v>958</v>
      </c>
      <c r="I98" s="19" t="s">
        <v>692</v>
      </c>
      <c r="J98" s="19" t="s">
        <v>692</v>
      </c>
      <c r="K98" s="19" t="s">
        <v>693</v>
      </c>
      <c r="L98" s="19" t="s">
        <v>694</v>
      </c>
      <c r="M98" s="19" t="s">
        <v>304</v>
      </c>
      <c r="N98" s="19" t="s">
        <v>970</v>
      </c>
      <c r="O98" s="19"/>
      <c r="P98" s="19" t="s">
        <v>1071</v>
      </c>
      <c r="Q98" s="19"/>
      <c r="R98" s="9"/>
      <c r="S98" s="9"/>
    </row>
    <row r="99" spans="2:19" ht="176" x14ac:dyDescent="0.2">
      <c r="B99" s="19" t="s">
        <v>26</v>
      </c>
      <c r="C99" s="19" t="s">
        <v>883</v>
      </c>
      <c r="D99" s="19" t="s">
        <v>696</v>
      </c>
      <c r="E99" s="19" t="s">
        <v>577</v>
      </c>
      <c r="F99" s="7" t="str">
        <f>IF(ISNUMBER(SEARCH('Stakeholder filter'!$B$3, E99)), "Match", "No Match")</f>
        <v>Match</v>
      </c>
      <c r="G99" s="19" t="s">
        <v>161</v>
      </c>
      <c r="H99" s="19" t="s">
        <v>697</v>
      </c>
      <c r="I99" s="19" t="s">
        <v>698</v>
      </c>
      <c r="J99" s="19" t="s">
        <v>698</v>
      </c>
      <c r="K99" s="19" t="s">
        <v>699</v>
      </c>
      <c r="L99" s="19" t="s">
        <v>700</v>
      </c>
      <c r="M99" s="19" t="s">
        <v>304</v>
      </c>
      <c r="N99" s="19" t="s">
        <v>970</v>
      </c>
      <c r="O99" s="19" t="s">
        <v>698</v>
      </c>
      <c r="P99" s="19" t="s">
        <v>1072</v>
      </c>
      <c r="Q99" s="19"/>
      <c r="R99" s="9"/>
      <c r="S99" s="9"/>
    </row>
    <row r="100" spans="2:19" ht="160" x14ac:dyDescent="0.2">
      <c r="B100" s="19" t="s">
        <v>26</v>
      </c>
      <c r="C100" s="19" t="s">
        <v>701</v>
      </c>
      <c r="D100" s="19" t="s">
        <v>702</v>
      </c>
      <c r="E100" s="19" t="s">
        <v>577</v>
      </c>
      <c r="F100" s="7" t="str">
        <f>IF(ISNUMBER(SEARCH('Stakeholder filter'!$B$3, E100)), "Match", "No Match")</f>
        <v>Match</v>
      </c>
      <c r="G100" s="19" t="s">
        <v>161</v>
      </c>
      <c r="H100" s="19" t="s">
        <v>958</v>
      </c>
      <c r="I100" s="19" t="s">
        <v>703</v>
      </c>
      <c r="J100" s="19" t="s">
        <v>703</v>
      </c>
      <c r="K100" s="19" t="s">
        <v>704</v>
      </c>
      <c r="L100" s="19" t="s">
        <v>705</v>
      </c>
      <c r="M100" s="19" t="s">
        <v>304</v>
      </c>
      <c r="N100" s="19" t="s">
        <v>970</v>
      </c>
      <c r="O100" s="19" t="s">
        <v>703</v>
      </c>
      <c r="P100" s="19" t="s">
        <v>1019</v>
      </c>
      <c r="Q100" s="19"/>
      <c r="R100" s="9"/>
      <c r="S100" s="9"/>
    </row>
    <row r="101" spans="2:19" ht="304" x14ac:dyDescent="0.2">
      <c r="B101" s="19" t="s">
        <v>26</v>
      </c>
      <c r="C101" s="19" t="s">
        <v>707</v>
      </c>
      <c r="D101" s="19" t="s">
        <v>708</v>
      </c>
      <c r="E101" s="19" t="s">
        <v>577</v>
      </c>
      <c r="F101" s="7" t="str">
        <f>IF(ISNUMBER(SEARCH('Stakeholder filter'!$B$3, E101)), "Match", "No Match")</f>
        <v>Match</v>
      </c>
      <c r="G101" s="19" t="s">
        <v>233</v>
      </c>
      <c r="H101" s="19" t="s">
        <v>958</v>
      </c>
      <c r="I101" s="19" t="s">
        <v>709</v>
      </c>
      <c r="J101" s="19" t="s">
        <v>709</v>
      </c>
      <c r="K101" s="19" t="s">
        <v>710</v>
      </c>
      <c r="L101" s="19" t="s">
        <v>711</v>
      </c>
      <c r="M101" s="19" t="s">
        <v>712</v>
      </c>
      <c r="N101" s="19" t="s">
        <v>969</v>
      </c>
      <c r="O101" s="28" t="s">
        <v>713</v>
      </c>
      <c r="P101" s="19" t="s">
        <v>713</v>
      </c>
      <c r="Q101" s="19" t="s">
        <v>714</v>
      </c>
      <c r="R101" s="9"/>
      <c r="S101" s="9"/>
    </row>
    <row r="102" spans="2:19" ht="176" x14ac:dyDescent="0.2">
      <c r="B102" s="19" t="s">
        <v>26</v>
      </c>
      <c r="C102" s="19" t="s">
        <v>715</v>
      </c>
      <c r="D102" s="19" t="s">
        <v>716</v>
      </c>
      <c r="E102" s="19" t="s">
        <v>577</v>
      </c>
      <c r="F102" s="7" t="str">
        <f>IF(ISNUMBER(SEARCH('Stakeholder filter'!$B$3, E102)), "Match", "No Match")</f>
        <v>Match</v>
      </c>
      <c r="G102" s="19" t="s">
        <v>717</v>
      </c>
      <c r="H102" s="19" t="s">
        <v>718</v>
      </c>
      <c r="I102" s="19" t="s">
        <v>719</v>
      </c>
      <c r="J102" s="19" t="s">
        <v>719</v>
      </c>
      <c r="K102" s="19" t="s">
        <v>720</v>
      </c>
      <c r="L102" s="19" t="s">
        <v>721</v>
      </c>
      <c r="M102" s="19" t="s">
        <v>304</v>
      </c>
      <c r="N102" s="19" t="s">
        <v>970</v>
      </c>
      <c r="O102" s="19" t="s">
        <v>722</v>
      </c>
      <c r="P102" s="19" t="s">
        <v>1073</v>
      </c>
      <c r="Q102" s="19"/>
      <c r="R102" s="9"/>
      <c r="S102" s="9"/>
    </row>
    <row r="103" spans="2:19" ht="272" x14ac:dyDescent="0.2">
      <c r="B103" s="19" t="s">
        <v>26</v>
      </c>
      <c r="C103" s="19" t="s">
        <v>723</v>
      </c>
      <c r="D103" s="19" t="s">
        <v>724</v>
      </c>
      <c r="E103" s="19" t="s">
        <v>577</v>
      </c>
      <c r="F103" s="7" t="str">
        <f>IF(ISNUMBER(SEARCH('Stakeholder filter'!$B$3, E103)), "Match", "No Match")</f>
        <v>Match</v>
      </c>
      <c r="G103" s="19" t="s">
        <v>252</v>
      </c>
      <c r="H103" s="19" t="s">
        <v>958</v>
      </c>
      <c r="I103" s="19" t="s">
        <v>692</v>
      </c>
      <c r="J103" s="19" t="s">
        <v>692</v>
      </c>
      <c r="K103" s="19" t="s">
        <v>725</v>
      </c>
      <c r="L103" s="19" t="s">
        <v>726</v>
      </c>
      <c r="M103" s="19" t="s">
        <v>304</v>
      </c>
      <c r="N103" s="19" t="s">
        <v>970</v>
      </c>
      <c r="O103" s="19"/>
      <c r="P103" s="19" t="s">
        <v>1071</v>
      </c>
      <c r="Q103" s="19"/>
      <c r="R103" s="9"/>
      <c r="S103" s="9"/>
    </row>
    <row r="104" spans="2:19" ht="365" x14ac:dyDescent="0.2">
      <c r="B104" s="24" t="s">
        <v>56</v>
      </c>
      <c r="C104" s="19" t="s">
        <v>727</v>
      </c>
      <c r="D104" s="19" t="s">
        <v>728</v>
      </c>
      <c r="E104" s="19" t="s">
        <v>609</v>
      </c>
      <c r="F104" s="7" t="str">
        <f>IF(ISNUMBER(SEARCH('Stakeholder filter'!$B$3, E104)), "Match", "No Match")</f>
        <v>Match</v>
      </c>
      <c r="G104" s="19" t="s">
        <v>34</v>
      </c>
      <c r="H104" s="19" t="s">
        <v>958</v>
      </c>
      <c r="I104" s="19" t="s">
        <v>729</v>
      </c>
      <c r="J104" s="19" t="s">
        <v>730</v>
      </c>
      <c r="K104" s="19" t="s">
        <v>731</v>
      </c>
      <c r="L104" s="19" t="s">
        <v>732</v>
      </c>
      <c r="M104" s="19" t="s">
        <v>304</v>
      </c>
      <c r="N104" s="19" t="s">
        <v>970</v>
      </c>
      <c r="O104" s="19" t="s">
        <v>574</v>
      </c>
      <c r="P104" s="19" t="s">
        <v>1075</v>
      </c>
      <c r="Q104" s="19" t="s">
        <v>730</v>
      </c>
      <c r="R104" s="9"/>
      <c r="S104" s="9"/>
    </row>
    <row r="105" spans="2:19" ht="335" x14ac:dyDescent="0.2">
      <c r="B105" s="24" t="s">
        <v>56</v>
      </c>
      <c r="C105" s="19" t="s">
        <v>733</v>
      </c>
      <c r="D105" s="19" t="s">
        <v>734</v>
      </c>
      <c r="E105" s="19" t="s">
        <v>609</v>
      </c>
      <c r="F105" s="7" t="str">
        <f>IF(ISNUMBER(SEARCH('Stakeholder filter'!$B$3, E105)), "Match", "No Match")</f>
        <v>Match</v>
      </c>
      <c r="G105" s="19" t="s">
        <v>252</v>
      </c>
      <c r="H105" s="27">
        <v>2000</v>
      </c>
      <c r="I105" s="19" t="s">
        <v>735</v>
      </c>
      <c r="J105" s="19" t="s">
        <v>736</v>
      </c>
      <c r="K105" s="19" t="s">
        <v>737</v>
      </c>
      <c r="L105" s="19" t="s">
        <v>738</v>
      </c>
      <c r="M105" s="26">
        <v>46266</v>
      </c>
      <c r="N105" s="19" t="s">
        <v>970</v>
      </c>
      <c r="O105" s="19" t="s">
        <v>739</v>
      </c>
      <c r="P105" s="19" t="s">
        <v>1074</v>
      </c>
      <c r="Q105" s="19" t="s">
        <v>739</v>
      </c>
      <c r="R105" s="9"/>
      <c r="S105" s="9"/>
    </row>
    <row r="106" spans="2:19" ht="80" x14ac:dyDescent="0.2">
      <c r="B106" s="24" t="s">
        <v>56</v>
      </c>
      <c r="C106" s="19" t="s">
        <v>740</v>
      </c>
      <c r="D106" s="19" t="s">
        <v>741</v>
      </c>
      <c r="E106" s="19" t="s">
        <v>609</v>
      </c>
      <c r="F106" s="7" t="str">
        <f>IF(ISNUMBER(SEARCH('Stakeholder filter'!$B$3, E106)), "Match", "No Match")</f>
        <v>Match</v>
      </c>
      <c r="G106" s="19" t="s">
        <v>74</v>
      </c>
      <c r="H106" s="19" t="s">
        <v>742</v>
      </c>
      <c r="I106" s="19" t="s">
        <v>743</v>
      </c>
      <c r="J106" s="19" t="s">
        <v>743</v>
      </c>
      <c r="K106" s="19" t="s">
        <v>744</v>
      </c>
      <c r="L106" s="19" t="s">
        <v>745</v>
      </c>
      <c r="M106" s="19" t="s">
        <v>304</v>
      </c>
      <c r="N106" s="19" t="s">
        <v>970</v>
      </c>
      <c r="O106" s="19" t="s">
        <v>743</v>
      </c>
      <c r="P106" s="19" t="s">
        <v>1076</v>
      </c>
      <c r="Q106" s="19" t="s">
        <v>746</v>
      </c>
      <c r="R106" s="9"/>
      <c r="S106" s="9"/>
    </row>
    <row r="107" spans="2:19" ht="80" x14ac:dyDescent="0.2">
      <c r="B107" s="24" t="s">
        <v>56</v>
      </c>
      <c r="C107" s="19" t="s">
        <v>747</v>
      </c>
      <c r="D107" s="19" t="s">
        <v>748</v>
      </c>
      <c r="E107" s="19" t="s">
        <v>609</v>
      </c>
      <c r="F107" s="7" t="str">
        <f>IF(ISNUMBER(SEARCH('Stakeholder filter'!$B$3, E107)), "Match", "No Match")</f>
        <v>Match</v>
      </c>
      <c r="G107" s="19" t="s">
        <v>34</v>
      </c>
      <c r="H107" s="27">
        <v>2500</v>
      </c>
      <c r="I107" s="19" t="s">
        <v>749</v>
      </c>
      <c r="J107" s="19" t="s">
        <v>749</v>
      </c>
      <c r="K107" s="19" t="s">
        <v>744</v>
      </c>
      <c r="L107" s="19" t="s">
        <v>750</v>
      </c>
      <c r="M107" s="19" t="s">
        <v>304</v>
      </c>
      <c r="N107" s="19" t="s">
        <v>970</v>
      </c>
      <c r="O107" s="19" t="s">
        <v>749</v>
      </c>
      <c r="P107" s="19" t="s">
        <v>1077</v>
      </c>
      <c r="Q107" s="19" t="s">
        <v>749</v>
      </c>
      <c r="R107" s="9"/>
      <c r="S107" s="9"/>
    </row>
    <row r="108" spans="2:19" ht="128" x14ac:dyDescent="0.2">
      <c r="B108" s="24" t="s">
        <v>56</v>
      </c>
      <c r="C108" s="19" t="s">
        <v>751</v>
      </c>
      <c r="D108" s="19" t="s">
        <v>752</v>
      </c>
      <c r="E108" s="19" t="s">
        <v>340</v>
      </c>
      <c r="F108" s="7" t="str">
        <f>IF(ISNUMBER(SEARCH('Stakeholder filter'!$B$3, E108)), "Match", "No Match")</f>
        <v>Match</v>
      </c>
      <c r="G108" s="19" t="s">
        <v>34</v>
      </c>
      <c r="H108" s="27">
        <v>10000</v>
      </c>
      <c r="I108" s="19" t="s">
        <v>753</v>
      </c>
      <c r="J108" s="19" t="s">
        <v>753</v>
      </c>
      <c r="K108" s="19" t="s">
        <v>744</v>
      </c>
      <c r="L108" s="19" t="s">
        <v>754</v>
      </c>
      <c r="M108" s="26">
        <v>46113</v>
      </c>
      <c r="N108" s="19" t="s">
        <v>970</v>
      </c>
      <c r="O108" s="19" t="s">
        <v>753</v>
      </c>
      <c r="P108" s="19" t="s">
        <v>1078</v>
      </c>
      <c r="Q108" s="19" t="s">
        <v>755</v>
      </c>
      <c r="R108" s="9"/>
      <c r="S108" s="9"/>
    </row>
    <row r="109" spans="2:19" ht="256" x14ac:dyDescent="0.2">
      <c r="B109" s="24" t="s">
        <v>56</v>
      </c>
      <c r="C109" s="19" t="s">
        <v>756</v>
      </c>
      <c r="D109" s="19" t="s">
        <v>757</v>
      </c>
      <c r="E109" s="19" t="s">
        <v>758</v>
      </c>
      <c r="F109" s="7" t="str">
        <f>IF(ISNUMBER(SEARCH('Stakeholder filter'!$B$3, E109)), "Match", "No Match")</f>
        <v>Match</v>
      </c>
      <c r="G109" s="19" t="s">
        <v>252</v>
      </c>
      <c r="H109" s="19" t="s">
        <v>958</v>
      </c>
      <c r="I109" s="19" t="s">
        <v>759</v>
      </c>
      <c r="J109" s="19" t="s">
        <v>759</v>
      </c>
      <c r="K109" s="19" t="s">
        <v>761</v>
      </c>
      <c r="L109" s="19" t="s">
        <v>760</v>
      </c>
      <c r="M109" s="26">
        <v>46054</v>
      </c>
      <c r="N109" s="19" t="s">
        <v>970</v>
      </c>
      <c r="O109" s="19" t="s">
        <v>760</v>
      </c>
      <c r="P109" s="19" t="s">
        <v>1079</v>
      </c>
      <c r="Q109" s="19"/>
      <c r="R109" s="9"/>
      <c r="S109" s="9"/>
    </row>
    <row r="110" spans="2:19" ht="80" x14ac:dyDescent="0.2">
      <c r="B110" s="24" t="s">
        <v>56</v>
      </c>
      <c r="C110" s="19" t="s">
        <v>884</v>
      </c>
      <c r="D110" s="19" t="s">
        <v>762</v>
      </c>
      <c r="E110" s="19" t="s">
        <v>609</v>
      </c>
      <c r="F110" s="7" t="str">
        <f>IF(ISNUMBER(SEARCH('Stakeholder filter'!$B$3, E110)), "Match", "No Match")</f>
        <v>Match</v>
      </c>
      <c r="G110" s="19" t="s">
        <v>161</v>
      </c>
      <c r="H110" s="19" t="s">
        <v>763</v>
      </c>
      <c r="I110" s="19" t="s">
        <v>764</v>
      </c>
      <c r="J110" s="19" t="s">
        <v>764</v>
      </c>
      <c r="K110" s="19" t="s">
        <v>266</v>
      </c>
      <c r="L110" s="19" t="s">
        <v>765</v>
      </c>
      <c r="M110" s="26">
        <v>45901</v>
      </c>
      <c r="N110" s="19" t="s">
        <v>970</v>
      </c>
      <c r="O110" s="19" t="s">
        <v>766</v>
      </c>
      <c r="P110" s="19" t="s">
        <v>1080</v>
      </c>
      <c r="Q110" s="19"/>
      <c r="R110" s="9"/>
      <c r="S110" s="9"/>
    </row>
    <row r="111" spans="2:19" ht="409.6" x14ac:dyDescent="0.2">
      <c r="B111" s="19" t="s">
        <v>26</v>
      </c>
      <c r="C111" s="19" t="s">
        <v>767</v>
      </c>
      <c r="D111" s="19" t="s">
        <v>768</v>
      </c>
      <c r="E111" s="19" t="s">
        <v>769</v>
      </c>
      <c r="F111" s="7" t="str">
        <f>IF(ISNUMBER(SEARCH('Stakeholder filter'!$B$3, E111)), "Match", "No Match")</f>
        <v>Match</v>
      </c>
      <c r="G111" s="19" t="s">
        <v>775</v>
      </c>
      <c r="H111" s="27">
        <v>250000</v>
      </c>
      <c r="I111" s="19" t="s">
        <v>770</v>
      </c>
      <c r="J111" s="19" t="s">
        <v>771</v>
      </c>
      <c r="K111" s="19" t="s">
        <v>772</v>
      </c>
      <c r="L111" s="19" t="s">
        <v>773</v>
      </c>
      <c r="M111" s="26">
        <v>45839</v>
      </c>
      <c r="N111" s="26" t="s">
        <v>969</v>
      </c>
      <c r="O111" s="19" t="s">
        <v>774</v>
      </c>
      <c r="P111" s="19" t="s">
        <v>772</v>
      </c>
      <c r="Q111" s="19"/>
      <c r="R111" s="9"/>
      <c r="S111" s="9"/>
    </row>
    <row r="112" spans="2:19" ht="192" x14ac:dyDescent="0.2">
      <c r="B112" s="19" t="s">
        <v>26</v>
      </c>
      <c r="C112" s="19" t="s">
        <v>776</v>
      </c>
      <c r="D112" s="19" t="s">
        <v>777</v>
      </c>
      <c r="E112" s="19" t="s">
        <v>769</v>
      </c>
      <c r="F112" s="7" t="str">
        <f>IF(ISNUMBER(SEARCH('Stakeholder filter'!$B$3, E112)), "Match", "No Match")</f>
        <v>Match</v>
      </c>
      <c r="G112" s="19" t="s">
        <v>34</v>
      </c>
      <c r="H112" s="19" t="s">
        <v>958</v>
      </c>
      <c r="I112" s="19" t="s">
        <v>778</v>
      </c>
      <c r="J112" s="19" t="s">
        <v>778</v>
      </c>
      <c r="K112" s="19" t="s">
        <v>778</v>
      </c>
      <c r="L112" s="19" t="s">
        <v>779</v>
      </c>
      <c r="M112" s="26">
        <v>45870</v>
      </c>
      <c r="N112" s="26" t="s">
        <v>969</v>
      </c>
      <c r="O112" s="19" t="s">
        <v>885</v>
      </c>
      <c r="P112" s="19" t="s">
        <v>1082</v>
      </c>
      <c r="Q112" s="19"/>
      <c r="R112" s="9"/>
      <c r="S112" s="9"/>
    </row>
    <row r="113" spans="2:19" ht="395" x14ac:dyDescent="0.2">
      <c r="B113" s="24" t="s">
        <v>40</v>
      </c>
      <c r="C113" s="19" t="s">
        <v>780</v>
      </c>
      <c r="D113" s="19" t="s">
        <v>781</v>
      </c>
      <c r="E113" s="19" t="s">
        <v>782</v>
      </c>
      <c r="F113" s="7" t="str">
        <f>IF(ISNUMBER(SEARCH('Stakeholder filter'!$B$3, E113)), "Match", "No Match")</f>
        <v>Match</v>
      </c>
      <c r="G113" s="19" t="s">
        <v>783</v>
      </c>
      <c r="H113" s="27">
        <v>2000</v>
      </c>
      <c r="I113" s="19" t="s">
        <v>784</v>
      </c>
      <c r="J113" s="19" t="s">
        <v>785</v>
      </c>
      <c r="K113" s="19" t="s">
        <v>785</v>
      </c>
      <c r="L113" s="19" t="s">
        <v>786</v>
      </c>
      <c r="M113" s="19" t="s">
        <v>787</v>
      </c>
      <c r="N113" s="19" t="s">
        <v>973</v>
      </c>
      <c r="O113" s="19" t="s">
        <v>785</v>
      </c>
      <c r="P113" s="19" t="s">
        <v>1081</v>
      </c>
      <c r="Q113" s="19"/>
      <c r="R113" s="9"/>
      <c r="S113" s="9"/>
    </row>
    <row r="114" spans="2:19" ht="409.6" x14ac:dyDescent="0.2">
      <c r="B114" s="24" t="s">
        <v>56</v>
      </c>
      <c r="C114" s="19" t="s">
        <v>886</v>
      </c>
      <c r="D114" s="19" t="s">
        <v>789</v>
      </c>
      <c r="E114" s="19" t="s">
        <v>790</v>
      </c>
      <c r="F114" s="7" t="str">
        <f>IF(ISNUMBER(SEARCH('Stakeholder filter'!$B$3, E114)), "Match", "No Match")</f>
        <v>Match</v>
      </c>
      <c r="G114" s="19" t="s">
        <v>34</v>
      </c>
      <c r="H114" s="19" t="s">
        <v>214</v>
      </c>
      <c r="I114" s="19" t="s">
        <v>791</v>
      </c>
      <c r="J114" s="19" t="s">
        <v>792</v>
      </c>
      <c r="K114" s="28" t="s">
        <v>793</v>
      </c>
      <c r="L114" s="19" t="s">
        <v>794</v>
      </c>
      <c r="M114" s="19" t="s">
        <v>795</v>
      </c>
      <c r="N114" s="19" t="s">
        <v>973</v>
      </c>
      <c r="O114" s="19" t="s">
        <v>792</v>
      </c>
      <c r="P114" s="19" t="s">
        <v>1083</v>
      </c>
      <c r="Q114" s="19" t="s">
        <v>792</v>
      </c>
      <c r="R114" s="9"/>
      <c r="S114" s="9"/>
    </row>
    <row r="115" spans="2:19" ht="365" x14ac:dyDescent="0.2">
      <c r="B115" s="24" t="s">
        <v>40</v>
      </c>
      <c r="C115" s="19" t="s">
        <v>796</v>
      </c>
      <c r="D115" s="19" t="s">
        <v>797</v>
      </c>
      <c r="E115" s="19" t="s">
        <v>782</v>
      </c>
      <c r="F115" s="7" t="str">
        <f>IF(ISNUMBER(SEARCH('Stakeholder filter'!$B$3, E115)), "Match", "No Match")</f>
        <v>Match</v>
      </c>
      <c r="G115" s="19" t="s">
        <v>798</v>
      </c>
      <c r="H115" s="19" t="s">
        <v>799</v>
      </c>
      <c r="I115" s="19" t="s">
        <v>800</v>
      </c>
      <c r="J115" s="19" t="s">
        <v>801</v>
      </c>
      <c r="K115" s="19" t="s">
        <v>803</v>
      </c>
      <c r="L115" s="19" t="s">
        <v>802</v>
      </c>
      <c r="M115" s="19" t="s">
        <v>887</v>
      </c>
      <c r="N115" s="19" t="s">
        <v>970</v>
      </c>
      <c r="O115" s="19" t="s">
        <v>801</v>
      </c>
      <c r="P115" s="19" t="s">
        <v>1084</v>
      </c>
      <c r="Q115" s="19" t="s">
        <v>804</v>
      </c>
      <c r="R115" s="9"/>
      <c r="S115" s="9"/>
    </row>
    <row r="116" spans="2:19" ht="288" x14ac:dyDescent="0.2">
      <c r="B116" s="19" t="s">
        <v>26</v>
      </c>
      <c r="C116" s="19" t="s">
        <v>806</v>
      </c>
      <c r="D116" s="19" t="s">
        <v>805</v>
      </c>
      <c r="E116" s="19" t="s">
        <v>807</v>
      </c>
      <c r="F116" s="7" t="str">
        <f>IF(ISNUMBER(SEARCH('Stakeholder filter'!$B$3, E116)), "Match", "No Match")</f>
        <v>Match</v>
      </c>
      <c r="G116" s="19" t="s">
        <v>252</v>
      </c>
      <c r="H116" s="19" t="s">
        <v>958</v>
      </c>
      <c r="I116" s="19" t="s">
        <v>808</v>
      </c>
      <c r="J116" s="19" t="s">
        <v>809</v>
      </c>
      <c r="K116" s="19" t="s">
        <v>810</v>
      </c>
      <c r="L116" s="19" t="s">
        <v>811</v>
      </c>
      <c r="M116" s="19" t="s">
        <v>813</v>
      </c>
      <c r="N116" s="19" t="s">
        <v>970</v>
      </c>
      <c r="O116" s="19" t="s">
        <v>812</v>
      </c>
      <c r="P116" s="19" t="s">
        <v>1085</v>
      </c>
      <c r="Q116" s="19"/>
      <c r="R116" s="9"/>
      <c r="S116" s="9"/>
    </row>
    <row r="117" spans="2:19" ht="48" x14ac:dyDescent="0.2">
      <c r="B117" s="24" t="s">
        <v>56</v>
      </c>
      <c r="C117" s="19" t="s">
        <v>814</v>
      </c>
      <c r="D117" s="19" t="s">
        <v>1130</v>
      </c>
      <c r="E117" s="19" t="s">
        <v>807</v>
      </c>
      <c r="F117" s="7" t="str">
        <f>IF(ISNUMBER(SEARCH('Stakeholder filter'!$B$3, E117)), "Match", "No Match")</f>
        <v>Match</v>
      </c>
      <c r="G117" s="19" t="s">
        <v>74</v>
      </c>
      <c r="H117" s="19" t="s">
        <v>214</v>
      </c>
      <c r="I117" s="19" t="s">
        <v>214</v>
      </c>
      <c r="J117" s="19" t="s">
        <v>214</v>
      </c>
      <c r="K117" s="19" t="s">
        <v>815</v>
      </c>
      <c r="L117" s="19" t="s">
        <v>816</v>
      </c>
      <c r="M117" s="19">
        <v>2026</v>
      </c>
      <c r="N117" s="19" t="s">
        <v>970</v>
      </c>
      <c r="O117" s="19" t="s">
        <v>817</v>
      </c>
      <c r="P117" s="19" t="s">
        <v>1086</v>
      </c>
      <c r="Q117" s="19"/>
      <c r="R117" s="9"/>
      <c r="S117" s="9"/>
    </row>
    <row r="118" spans="2:19" x14ac:dyDescent="0.2">
      <c r="B118" s="9"/>
      <c r="C118" s="10"/>
      <c r="D118" s="10"/>
      <c r="E118" s="10"/>
      <c r="F118" s="9"/>
      <c r="G118" s="10"/>
      <c r="H118" s="10"/>
      <c r="I118" s="10"/>
      <c r="J118" s="10"/>
      <c r="K118" s="10"/>
      <c r="L118" s="10"/>
      <c r="M118" s="10"/>
      <c r="N118" s="10"/>
      <c r="O118" s="10"/>
      <c r="P118" s="10"/>
      <c r="Q118" s="10"/>
      <c r="R118" s="9"/>
      <c r="S118" s="9"/>
    </row>
    <row r="119" spans="2:19" x14ac:dyDescent="0.2">
      <c r="B119" s="9"/>
      <c r="C119" s="10"/>
      <c r="D119" s="10"/>
      <c r="E119" s="10"/>
      <c r="F119" s="9"/>
      <c r="G119" s="10"/>
      <c r="H119" s="10"/>
      <c r="I119" s="10"/>
      <c r="J119" s="10"/>
      <c r="K119" s="10"/>
      <c r="L119" s="10"/>
      <c r="M119" s="10"/>
      <c r="N119" s="10"/>
      <c r="O119" s="10"/>
      <c r="P119" s="10"/>
      <c r="Q119" s="10"/>
      <c r="R119" s="9"/>
      <c r="S119" s="9"/>
    </row>
    <row r="120" spans="2:19" x14ac:dyDescent="0.2">
      <c r="B120" s="9"/>
      <c r="C120" s="10"/>
      <c r="D120" s="10"/>
      <c r="E120" s="10"/>
      <c r="F120" s="9"/>
      <c r="G120" s="10"/>
      <c r="H120" s="10"/>
      <c r="I120" s="10"/>
      <c r="J120" s="10"/>
      <c r="K120" s="10"/>
      <c r="L120" s="10"/>
      <c r="M120" s="10"/>
      <c r="N120" s="10"/>
      <c r="O120" s="10"/>
      <c r="P120" s="10"/>
      <c r="Q120" s="10"/>
      <c r="R120" s="9"/>
      <c r="S120" s="9"/>
    </row>
    <row r="121" spans="2:19" x14ac:dyDescent="0.2">
      <c r="B121" s="9"/>
      <c r="C121" s="10"/>
      <c r="D121" s="10"/>
      <c r="E121" s="10"/>
      <c r="F121" s="9"/>
      <c r="G121" s="10"/>
      <c r="H121" s="10"/>
      <c r="I121" s="10"/>
      <c r="J121" s="10"/>
      <c r="K121" s="10"/>
      <c r="L121" s="10"/>
      <c r="M121" s="10"/>
      <c r="N121" s="10"/>
      <c r="O121" s="10"/>
      <c r="P121" s="10"/>
      <c r="Q121" s="10"/>
      <c r="R121" s="9"/>
      <c r="S121" s="9"/>
    </row>
    <row r="122" spans="2:19" x14ac:dyDescent="0.2">
      <c r="B122" s="9"/>
      <c r="C122" s="10"/>
      <c r="D122" s="10"/>
      <c r="E122" s="10"/>
      <c r="F122" s="9"/>
      <c r="G122" s="10"/>
      <c r="H122" s="10"/>
      <c r="I122" s="10"/>
      <c r="J122" s="10"/>
      <c r="K122" s="10"/>
      <c r="L122" s="10"/>
      <c r="M122" s="10"/>
      <c r="N122" s="10"/>
      <c r="O122" s="10"/>
      <c r="P122" s="10"/>
      <c r="Q122" s="10"/>
      <c r="R122" s="9"/>
      <c r="S122" s="9"/>
    </row>
    <row r="123" spans="2:19" x14ac:dyDescent="0.2">
      <c r="B123" s="9"/>
      <c r="C123" s="10"/>
      <c r="D123" s="10"/>
      <c r="E123" s="10"/>
      <c r="F123" s="9"/>
      <c r="G123" s="10"/>
      <c r="H123" s="10"/>
      <c r="I123" s="10"/>
      <c r="J123" s="10"/>
      <c r="K123" s="10"/>
      <c r="L123" s="10"/>
      <c r="M123" s="10"/>
      <c r="N123" s="10"/>
      <c r="O123" s="10"/>
      <c r="P123" s="10"/>
      <c r="Q123" s="10"/>
      <c r="R123" s="9"/>
      <c r="S123" s="9"/>
    </row>
    <row r="124" spans="2:19" x14ac:dyDescent="0.2">
      <c r="B124" s="9"/>
      <c r="C124" s="10"/>
      <c r="D124" s="10"/>
      <c r="E124" s="10"/>
      <c r="F124" s="9"/>
      <c r="G124" s="10"/>
      <c r="H124" s="10"/>
      <c r="I124" s="10"/>
      <c r="J124" s="10"/>
      <c r="K124" s="10"/>
      <c r="L124" s="10"/>
      <c r="M124" s="10"/>
      <c r="N124" s="10"/>
      <c r="O124" s="10"/>
      <c r="P124" s="10"/>
      <c r="Q124" s="10"/>
      <c r="R124" s="9"/>
      <c r="S124" s="9"/>
    </row>
    <row r="125" spans="2:19" x14ac:dyDescent="0.2">
      <c r="B125" s="9"/>
      <c r="C125" s="10"/>
      <c r="D125" s="10"/>
      <c r="E125" s="10"/>
      <c r="F125" s="9"/>
      <c r="G125" s="10"/>
      <c r="H125" s="10"/>
      <c r="I125" s="10"/>
      <c r="J125" s="10"/>
      <c r="K125" s="10"/>
      <c r="L125" s="10"/>
      <c r="M125" s="10"/>
      <c r="N125" s="10"/>
      <c r="O125" s="10"/>
      <c r="P125" s="10"/>
      <c r="Q125" s="10"/>
      <c r="R125" s="9"/>
      <c r="S125" s="9"/>
    </row>
    <row r="126" spans="2:19" x14ac:dyDescent="0.2">
      <c r="B126" s="9"/>
      <c r="C126" s="10"/>
      <c r="D126" s="10"/>
      <c r="E126" s="10"/>
      <c r="F126" s="9"/>
      <c r="G126" s="10"/>
      <c r="H126" s="10"/>
      <c r="I126" s="10"/>
      <c r="J126" s="10"/>
      <c r="K126" s="10"/>
      <c r="L126" s="10"/>
      <c r="M126" s="10"/>
      <c r="N126" s="10"/>
      <c r="O126" s="10"/>
      <c r="P126" s="10"/>
      <c r="Q126" s="10"/>
      <c r="R126" s="9"/>
      <c r="S126" s="9"/>
    </row>
    <row r="127" spans="2:19" x14ac:dyDescent="0.2">
      <c r="B127" s="9"/>
      <c r="C127" s="10"/>
      <c r="D127" s="10"/>
      <c r="E127" s="10"/>
      <c r="F127" s="9"/>
      <c r="G127" s="10"/>
      <c r="H127" s="10"/>
      <c r="I127" s="10"/>
      <c r="J127" s="10"/>
      <c r="K127" s="10"/>
      <c r="L127" s="10"/>
      <c r="M127" s="10"/>
      <c r="N127" s="10"/>
      <c r="O127" s="10"/>
      <c r="P127" s="10"/>
      <c r="Q127" s="10"/>
      <c r="R127" s="9"/>
      <c r="S127" s="9"/>
    </row>
    <row r="128" spans="2:19" x14ac:dyDescent="0.2">
      <c r="B128" s="9"/>
      <c r="C128" s="10"/>
      <c r="D128" s="10"/>
      <c r="E128" s="10"/>
      <c r="F128" s="9"/>
      <c r="G128" s="10"/>
      <c r="H128" s="10"/>
      <c r="I128" s="10"/>
      <c r="J128" s="10"/>
      <c r="K128" s="10"/>
      <c r="L128" s="10"/>
      <c r="M128" s="10"/>
      <c r="N128" s="10"/>
      <c r="O128" s="10"/>
      <c r="P128" s="10"/>
      <c r="Q128" s="10"/>
      <c r="R128" s="9"/>
      <c r="S128" s="9"/>
    </row>
    <row r="129" spans="2:19" x14ac:dyDescent="0.2">
      <c r="B129" s="9"/>
      <c r="C129" s="10"/>
      <c r="D129" s="10"/>
      <c r="E129" s="10"/>
      <c r="F129" s="9"/>
      <c r="G129" s="10"/>
      <c r="H129" s="10"/>
      <c r="I129" s="10"/>
      <c r="J129" s="10"/>
      <c r="K129" s="10"/>
      <c r="L129" s="10"/>
      <c r="M129" s="10"/>
      <c r="N129" s="10"/>
      <c r="O129" s="10"/>
      <c r="P129" s="10"/>
      <c r="Q129" s="10"/>
      <c r="R129" s="9"/>
      <c r="S129" s="9"/>
    </row>
    <row r="130" spans="2:19" x14ac:dyDescent="0.2">
      <c r="B130" s="9"/>
      <c r="C130" s="10"/>
      <c r="D130" s="10"/>
      <c r="E130" s="10"/>
      <c r="F130" s="9"/>
      <c r="G130" s="10"/>
      <c r="H130" s="10"/>
      <c r="I130" s="10"/>
      <c r="J130" s="10"/>
      <c r="K130" s="10"/>
      <c r="L130" s="10"/>
      <c r="M130" s="10"/>
      <c r="N130" s="10"/>
      <c r="O130" s="10"/>
      <c r="P130" s="10"/>
      <c r="Q130" s="10"/>
      <c r="R130" s="9"/>
      <c r="S130" s="9"/>
    </row>
    <row r="131" spans="2:19" x14ac:dyDescent="0.2">
      <c r="B131" s="9"/>
      <c r="C131" s="10"/>
      <c r="D131" s="10"/>
      <c r="E131" s="10"/>
      <c r="F131" s="9"/>
      <c r="G131" s="10"/>
      <c r="H131" s="10"/>
      <c r="I131" s="10"/>
      <c r="J131" s="10"/>
      <c r="K131" s="10"/>
      <c r="L131" s="10"/>
      <c r="M131" s="10"/>
      <c r="N131" s="10"/>
      <c r="O131" s="10"/>
      <c r="P131" s="10"/>
      <c r="Q131" s="10"/>
      <c r="R131" s="9"/>
      <c r="S131" s="9"/>
    </row>
    <row r="132" spans="2:19" x14ac:dyDescent="0.2">
      <c r="B132" s="9"/>
      <c r="C132" s="10"/>
      <c r="D132" s="10"/>
      <c r="E132" s="10"/>
      <c r="F132" s="9"/>
      <c r="G132" s="10"/>
      <c r="H132" s="10"/>
      <c r="I132" s="10"/>
      <c r="J132" s="10"/>
      <c r="K132" s="10"/>
      <c r="L132" s="10"/>
      <c r="M132" s="10"/>
      <c r="N132" s="10"/>
      <c r="O132" s="10"/>
      <c r="P132" s="10"/>
      <c r="Q132" s="10"/>
      <c r="R132" s="9"/>
      <c r="S132" s="9"/>
    </row>
    <row r="133" spans="2:19" x14ac:dyDescent="0.2">
      <c r="B133" s="9"/>
      <c r="C133" s="10"/>
      <c r="D133" s="10"/>
      <c r="E133" s="10"/>
      <c r="F133" s="9"/>
      <c r="G133" s="10"/>
      <c r="H133" s="10"/>
      <c r="I133" s="10"/>
      <c r="J133" s="10"/>
      <c r="K133" s="10"/>
      <c r="L133" s="10"/>
      <c r="M133" s="10"/>
      <c r="N133" s="10"/>
      <c r="O133" s="10"/>
      <c r="P133" s="10"/>
      <c r="Q133" s="10"/>
      <c r="R133" s="9"/>
      <c r="S133" s="9"/>
    </row>
    <row r="134" spans="2:19" x14ac:dyDescent="0.2">
      <c r="B134" s="9"/>
      <c r="C134" s="10"/>
      <c r="D134" s="10"/>
      <c r="E134" s="10"/>
      <c r="F134" s="9"/>
      <c r="G134" s="10"/>
      <c r="H134" s="10"/>
      <c r="I134" s="10"/>
      <c r="J134" s="10"/>
      <c r="K134" s="10"/>
      <c r="L134" s="10"/>
      <c r="M134" s="10"/>
      <c r="N134" s="10"/>
      <c r="O134" s="10"/>
      <c r="P134" s="10"/>
      <c r="Q134" s="10"/>
      <c r="R134" s="9"/>
      <c r="S134" s="9"/>
    </row>
    <row r="135" spans="2:19" x14ac:dyDescent="0.2">
      <c r="B135" s="9"/>
      <c r="C135" s="10"/>
      <c r="D135" s="10"/>
      <c r="E135" s="10"/>
      <c r="F135" s="9"/>
      <c r="G135" s="10"/>
      <c r="H135" s="10"/>
      <c r="I135" s="10"/>
      <c r="J135" s="10"/>
      <c r="K135" s="10"/>
      <c r="L135" s="10"/>
      <c r="M135" s="10"/>
      <c r="N135" s="10"/>
      <c r="O135" s="10"/>
      <c r="P135" s="10"/>
      <c r="Q135" s="10"/>
      <c r="R135" s="9"/>
      <c r="S135" s="9"/>
    </row>
    <row r="136" spans="2:19" x14ac:dyDescent="0.2">
      <c r="B136" s="9"/>
      <c r="C136" s="10"/>
      <c r="D136" s="10"/>
      <c r="E136" s="10"/>
      <c r="F136" s="9"/>
      <c r="G136" s="10"/>
      <c r="H136" s="10"/>
      <c r="I136" s="10"/>
      <c r="J136" s="10"/>
      <c r="K136" s="10"/>
      <c r="L136" s="10"/>
      <c r="M136" s="10"/>
      <c r="N136" s="10"/>
      <c r="O136" s="10"/>
      <c r="P136" s="10"/>
      <c r="Q136" s="10"/>
      <c r="R136" s="9"/>
      <c r="S136" s="9"/>
    </row>
    <row r="137" spans="2:19" x14ac:dyDescent="0.2">
      <c r="B137" s="9"/>
      <c r="C137" s="10"/>
      <c r="D137" s="10"/>
      <c r="E137" s="10"/>
      <c r="F137" s="9"/>
      <c r="G137" s="10"/>
      <c r="H137" s="10"/>
      <c r="I137" s="10"/>
      <c r="J137" s="10"/>
      <c r="K137" s="10"/>
      <c r="L137" s="10"/>
      <c r="M137" s="10"/>
      <c r="N137" s="10"/>
      <c r="O137" s="10"/>
      <c r="P137" s="10"/>
      <c r="Q137" s="10"/>
      <c r="R137" s="9"/>
      <c r="S137" s="9"/>
    </row>
    <row r="138" spans="2:19" x14ac:dyDescent="0.2">
      <c r="B138" s="9"/>
      <c r="C138" s="10"/>
      <c r="D138" s="10"/>
      <c r="E138" s="10"/>
      <c r="F138" s="9"/>
      <c r="G138" s="10"/>
      <c r="H138" s="10"/>
      <c r="I138" s="10"/>
      <c r="J138" s="10"/>
      <c r="K138" s="10"/>
      <c r="L138" s="10"/>
      <c r="M138" s="10"/>
      <c r="N138" s="10"/>
      <c r="O138" s="10"/>
      <c r="P138" s="10"/>
      <c r="Q138" s="10"/>
      <c r="R138" s="9"/>
      <c r="S138" s="9"/>
    </row>
    <row r="139" spans="2:19" x14ac:dyDescent="0.2">
      <c r="B139" s="9"/>
      <c r="C139" s="10"/>
      <c r="D139" s="10"/>
      <c r="E139" s="10"/>
      <c r="F139" s="9"/>
      <c r="G139" s="10"/>
      <c r="H139" s="10"/>
      <c r="I139" s="10"/>
      <c r="J139" s="10"/>
      <c r="K139" s="10"/>
      <c r="L139" s="10"/>
      <c r="M139" s="10"/>
      <c r="N139" s="10"/>
      <c r="O139" s="10"/>
      <c r="P139" s="10"/>
      <c r="Q139" s="10"/>
      <c r="R139" s="9"/>
      <c r="S139" s="9"/>
    </row>
    <row r="140" spans="2:19" x14ac:dyDescent="0.2">
      <c r="B140" s="9"/>
      <c r="C140" s="10"/>
      <c r="D140" s="10"/>
      <c r="E140" s="10"/>
      <c r="F140" s="9"/>
      <c r="G140" s="10"/>
      <c r="H140" s="10"/>
      <c r="I140" s="10"/>
      <c r="J140" s="10"/>
      <c r="K140" s="10"/>
      <c r="L140" s="10"/>
      <c r="M140" s="10"/>
      <c r="N140" s="10"/>
      <c r="O140" s="10"/>
      <c r="P140" s="10"/>
      <c r="Q140" s="10"/>
      <c r="R140" s="9"/>
      <c r="S140" s="9"/>
    </row>
    <row r="141" spans="2:19" x14ac:dyDescent="0.2">
      <c r="B141" s="9"/>
      <c r="C141" s="10"/>
      <c r="D141" s="10"/>
      <c r="E141" s="10"/>
      <c r="F141" s="9"/>
      <c r="G141" s="10"/>
      <c r="H141" s="10"/>
      <c r="I141" s="10"/>
      <c r="J141" s="10"/>
      <c r="K141" s="10"/>
      <c r="L141" s="10"/>
      <c r="M141" s="10"/>
      <c r="N141" s="10"/>
      <c r="O141" s="10"/>
      <c r="P141" s="10"/>
      <c r="Q141" s="10"/>
      <c r="R141" s="9"/>
      <c r="S141" s="9"/>
    </row>
    <row r="142" spans="2:19" x14ac:dyDescent="0.2">
      <c r="B142" s="9"/>
      <c r="C142" s="10"/>
      <c r="D142" s="10"/>
      <c r="E142" s="10"/>
      <c r="F142" s="9"/>
      <c r="G142" s="10"/>
      <c r="H142" s="10"/>
      <c r="I142" s="10"/>
      <c r="J142" s="10"/>
      <c r="K142" s="10"/>
      <c r="L142" s="10"/>
      <c r="M142" s="10"/>
      <c r="N142" s="10"/>
      <c r="O142" s="10"/>
      <c r="P142" s="10"/>
      <c r="Q142" s="10"/>
      <c r="R142" s="9"/>
      <c r="S142" s="9"/>
    </row>
    <row r="143" spans="2:19" x14ac:dyDescent="0.2">
      <c r="B143" s="9"/>
      <c r="C143" s="10"/>
      <c r="D143" s="10"/>
      <c r="E143" s="10"/>
      <c r="F143" s="9"/>
      <c r="G143" s="10"/>
      <c r="H143" s="10"/>
      <c r="I143" s="10"/>
      <c r="J143" s="10"/>
      <c r="K143" s="10"/>
      <c r="L143" s="10"/>
      <c r="M143" s="10"/>
      <c r="N143" s="10"/>
      <c r="O143" s="10"/>
      <c r="P143" s="10"/>
      <c r="Q143" s="10"/>
      <c r="R143" s="9"/>
      <c r="S143" s="9"/>
    </row>
    <row r="144" spans="2:19" x14ac:dyDescent="0.2">
      <c r="B144" s="9"/>
      <c r="C144" s="10"/>
      <c r="D144" s="10"/>
      <c r="E144" s="10"/>
      <c r="F144" s="9"/>
      <c r="G144" s="10"/>
      <c r="H144" s="10"/>
      <c r="I144" s="10"/>
      <c r="J144" s="10"/>
      <c r="K144" s="10"/>
      <c r="L144" s="10"/>
      <c r="M144" s="10"/>
      <c r="N144" s="10"/>
      <c r="O144" s="10"/>
      <c r="P144" s="10"/>
      <c r="Q144" s="10"/>
      <c r="R144" s="9"/>
      <c r="S144" s="9"/>
    </row>
    <row r="145" spans="2:19" x14ac:dyDescent="0.2">
      <c r="B145" s="9"/>
      <c r="C145" s="10"/>
      <c r="D145" s="10"/>
      <c r="E145" s="10"/>
      <c r="F145" s="9"/>
      <c r="G145" s="10"/>
      <c r="H145" s="10"/>
      <c r="I145" s="10"/>
      <c r="J145" s="10"/>
      <c r="K145" s="10"/>
      <c r="L145" s="10"/>
      <c r="M145" s="10"/>
      <c r="N145" s="10"/>
      <c r="O145" s="10"/>
      <c r="P145" s="10"/>
      <c r="Q145" s="10"/>
      <c r="R145" s="9"/>
      <c r="S145" s="9"/>
    </row>
    <row r="146" spans="2:19" x14ac:dyDescent="0.2">
      <c r="B146" s="9"/>
      <c r="C146" s="10"/>
      <c r="D146" s="10"/>
      <c r="E146" s="10"/>
      <c r="F146" s="9"/>
      <c r="G146" s="10"/>
      <c r="H146" s="10"/>
      <c r="I146" s="10"/>
      <c r="J146" s="10"/>
      <c r="K146" s="10"/>
      <c r="L146" s="10"/>
      <c r="M146" s="10"/>
      <c r="N146" s="10"/>
      <c r="O146" s="10"/>
      <c r="P146" s="10"/>
      <c r="Q146" s="10"/>
      <c r="R146" s="9"/>
      <c r="S146" s="9"/>
    </row>
    <row r="147" spans="2:19" x14ac:dyDescent="0.2">
      <c r="B147" s="9"/>
      <c r="C147" s="10"/>
      <c r="D147" s="10"/>
      <c r="E147" s="10"/>
      <c r="F147" s="9"/>
      <c r="G147" s="10"/>
      <c r="H147" s="10"/>
      <c r="I147" s="10"/>
      <c r="J147" s="10"/>
      <c r="K147" s="10"/>
      <c r="L147" s="10"/>
      <c r="M147" s="10"/>
      <c r="N147" s="10"/>
      <c r="O147" s="10"/>
      <c r="P147" s="10"/>
      <c r="Q147" s="10"/>
      <c r="R147" s="9"/>
      <c r="S147" s="9"/>
    </row>
    <row r="148" spans="2:19" x14ac:dyDescent="0.2">
      <c r="B148" s="9"/>
      <c r="C148" s="10"/>
      <c r="D148" s="10"/>
      <c r="E148" s="10"/>
      <c r="F148" s="9"/>
      <c r="G148" s="10"/>
      <c r="H148" s="10"/>
      <c r="I148" s="10"/>
      <c r="J148" s="10"/>
      <c r="K148" s="10"/>
      <c r="L148" s="10"/>
      <c r="M148" s="10"/>
      <c r="N148" s="10"/>
      <c r="O148" s="10"/>
      <c r="P148" s="10"/>
      <c r="Q148" s="10"/>
      <c r="R148" s="9"/>
      <c r="S148" s="9"/>
    </row>
    <row r="149" spans="2:19" x14ac:dyDescent="0.2">
      <c r="B149" s="9"/>
      <c r="C149" s="10"/>
      <c r="D149" s="10"/>
      <c r="E149" s="10"/>
      <c r="F149" s="9"/>
      <c r="G149" s="10"/>
      <c r="H149" s="10"/>
      <c r="I149" s="10"/>
      <c r="J149" s="10"/>
      <c r="K149" s="10"/>
      <c r="L149" s="10"/>
      <c r="M149" s="10"/>
      <c r="N149" s="10"/>
      <c r="O149" s="10"/>
      <c r="P149" s="10"/>
      <c r="Q149" s="10"/>
      <c r="R149" s="9"/>
      <c r="S149" s="9"/>
    </row>
    <row r="150" spans="2:19" x14ac:dyDescent="0.2">
      <c r="B150" s="9"/>
      <c r="C150" s="10"/>
      <c r="D150" s="10"/>
      <c r="E150" s="10"/>
      <c r="F150" s="9"/>
      <c r="G150" s="10"/>
      <c r="H150" s="10"/>
      <c r="I150" s="10"/>
      <c r="J150" s="10"/>
      <c r="K150" s="10"/>
      <c r="L150" s="10"/>
      <c r="M150" s="10"/>
      <c r="N150" s="10"/>
      <c r="O150" s="10"/>
      <c r="P150" s="10"/>
      <c r="Q150" s="10"/>
      <c r="R150" s="9"/>
      <c r="S150" s="9"/>
    </row>
    <row r="151" spans="2:19" x14ac:dyDescent="0.2">
      <c r="B151" s="9"/>
      <c r="C151" s="10"/>
      <c r="D151" s="10"/>
      <c r="E151" s="10"/>
      <c r="F151" s="9"/>
      <c r="G151" s="10"/>
      <c r="H151" s="10"/>
      <c r="I151" s="10"/>
      <c r="J151" s="10"/>
      <c r="K151" s="10"/>
      <c r="L151" s="10"/>
      <c r="M151" s="10"/>
      <c r="N151" s="10"/>
      <c r="O151" s="10"/>
      <c r="P151" s="10"/>
      <c r="Q151" s="10"/>
      <c r="R151" s="9"/>
      <c r="S151" s="9"/>
    </row>
    <row r="152" spans="2:19" x14ac:dyDescent="0.2">
      <c r="B152" s="9"/>
      <c r="C152" s="10"/>
      <c r="D152" s="10"/>
      <c r="E152" s="10"/>
      <c r="F152" s="9"/>
      <c r="G152" s="10"/>
      <c r="H152" s="10"/>
      <c r="I152" s="10"/>
      <c r="J152" s="10"/>
      <c r="K152" s="10"/>
      <c r="L152" s="10"/>
      <c r="M152" s="10"/>
      <c r="N152" s="10"/>
      <c r="O152" s="10"/>
      <c r="P152" s="10"/>
      <c r="Q152" s="10"/>
      <c r="R152" s="9"/>
      <c r="S152" s="9"/>
    </row>
    <row r="153" spans="2:19" x14ac:dyDescent="0.2">
      <c r="B153" s="9"/>
      <c r="C153" s="10"/>
      <c r="D153" s="10"/>
      <c r="E153" s="10"/>
      <c r="F153" s="9"/>
      <c r="G153" s="10"/>
      <c r="H153" s="10"/>
      <c r="I153" s="10"/>
      <c r="J153" s="10"/>
      <c r="K153" s="10"/>
      <c r="L153" s="10"/>
      <c r="M153" s="10"/>
      <c r="N153" s="10"/>
      <c r="O153" s="10"/>
      <c r="P153" s="10"/>
      <c r="Q153" s="10"/>
      <c r="R153" s="9"/>
      <c r="S153" s="9"/>
    </row>
    <row r="154" spans="2:19" x14ac:dyDescent="0.2">
      <c r="B154" s="9"/>
      <c r="C154" s="10"/>
      <c r="D154" s="10"/>
      <c r="E154" s="10"/>
      <c r="F154" s="9"/>
      <c r="G154" s="10"/>
      <c r="H154" s="10"/>
      <c r="I154" s="10"/>
      <c r="J154" s="10"/>
      <c r="K154" s="10"/>
      <c r="L154" s="10"/>
      <c r="M154" s="10"/>
      <c r="N154" s="10"/>
      <c r="O154" s="10"/>
      <c r="P154" s="10"/>
      <c r="Q154" s="10"/>
      <c r="R154" s="9"/>
      <c r="S154" s="9"/>
    </row>
    <row r="155" spans="2:19" x14ac:dyDescent="0.2">
      <c r="B155" s="9"/>
      <c r="C155" s="10"/>
      <c r="D155" s="10"/>
      <c r="E155" s="10"/>
      <c r="F155" s="9"/>
      <c r="G155" s="10"/>
      <c r="H155" s="10"/>
      <c r="I155" s="10"/>
      <c r="J155" s="10"/>
      <c r="K155" s="10"/>
      <c r="L155" s="10"/>
      <c r="M155" s="10"/>
      <c r="N155" s="10"/>
      <c r="O155" s="10"/>
      <c r="P155" s="10"/>
      <c r="Q155" s="10"/>
      <c r="R155" s="9"/>
      <c r="S155" s="9"/>
    </row>
    <row r="156" spans="2:19" x14ac:dyDescent="0.2">
      <c r="B156" s="9"/>
      <c r="C156" s="10"/>
      <c r="D156" s="10"/>
      <c r="E156" s="10"/>
      <c r="F156" s="9"/>
      <c r="G156" s="10"/>
      <c r="H156" s="10"/>
      <c r="I156" s="10"/>
      <c r="J156" s="10"/>
      <c r="K156" s="10"/>
      <c r="L156" s="10"/>
      <c r="M156" s="10"/>
      <c r="N156" s="10"/>
      <c r="O156" s="10"/>
      <c r="P156" s="10"/>
      <c r="Q156" s="10"/>
      <c r="R156" s="9"/>
      <c r="S156" s="9"/>
    </row>
    <row r="157" spans="2:19" x14ac:dyDescent="0.2">
      <c r="B157" s="9"/>
      <c r="C157" s="10"/>
      <c r="D157" s="10"/>
      <c r="E157" s="10"/>
      <c r="F157" s="9"/>
      <c r="G157" s="10"/>
      <c r="H157" s="10"/>
      <c r="I157" s="10"/>
      <c r="J157" s="10"/>
      <c r="K157" s="10"/>
      <c r="L157" s="10"/>
      <c r="M157" s="10"/>
      <c r="N157" s="10"/>
      <c r="O157" s="10"/>
      <c r="P157" s="10"/>
      <c r="Q157" s="10"/>
      <c r="R157" s="9"/>
      <c r="S157" s="9"/>
    </row>
    <row r="158" spans="2:19" x14ac:dyDescent="0.2">
      <c r="B158" s="9"/>
      <c r="C158" s="10"/>
      <c r="D158" s="10"/>
      <c r="E158" s="10"/>
      <c r="F158" s="9"/>
      <c r="G158" s="10"/>
      <c r="H158" s="10"/>
      <c r="I158" s="10"/>
      <c r="J158" s="10"/>
      <c r="K158" s="10"/>
      <c r="L158" s="10"/>
      <c r="M158" s="10"/>
      <c r="N158" s="10"/>
      <c r="O158" s="10"/>
      <c r="P158" s="10"/>
      <c r="Q158" s="10"/>
      <c r="R158" s="9"/>
      <c r="S158" s="9"/>
    </row>
    <row r="159" spans="2:19" x14ac:dyDescent="0.2">
      <c r="B159" s="9"/>
      <c r="C159" s="10"/>
      <c r="D159" s="10"/>
      <c r="E159" s="10"/>
      <c r="F159" s="9"/>
      <c r="G159" s="10"/>
      <c r="H159" s="10"/>
      <c r="I159" s="10"/>
      <c r="J159" s="10"/>
      <c r="K159" s="10"/>
      <c r="L159" s="10"/>
      <c r="M159" s="10"/>
      <c r="N159" s="10"/>
      <c r="O159" s="10"/>
      <c r="P159" s="10"/>
      <c r="Q159" s="10"/>
      <c r="R159" s="9"/>
      <c r="S159" s="9"/>
    </row>
    <row r="160" spans="2:19" x14ac:dyDescent="0.2">
      <c r="B160" s="9"/>
      <c r="C160" s="10"/>
      <c r="D160" s="10"/>
      <c r="E160" s="10"/>
      <c r="F160" s="9"/>
      <c r="G160" s="10"/>
      <c r="H160" s="10"/>
      <c r="I160" s="10"/>
      <c r="J160" s="10"/>
      <c r="K160" s="10"/>
      <c r="L160" s="10"/>
      <c r="M160" s="10"/>
      <c r="N160" s="10"/>
      <c r="O160" s="10"/>
      <c r="P160" s="10"/>
      <c r="Q160" s="10"/>
      <c r="R160" s="9"/>
      <c r="S160" s="9"/>
    </row>
    <row r="161" spans="2:19" x14ac:dyDescent="0.2">
      <c r="B161" s="9"/>
      <c r="C161" s="10"/>
      <c r="D161" s="10"/>
      <c r="E161" s="10"/>
      <c r="F161" s="9"/>
      <c r="G161" s="10"/>
      <c r="H161" s="10"/>
      <c r="I161" s="10"/>
      <c r="J161" s="10"/>
      <c r="K161" s="10"/>
      <c r="L161" s="10"/>
      <c r="M161" s="10"/>
      <c r="N161" s="10"/>
      <c r="O161" s="10"/>
      <c r="P161" s="10"/>
      <c r="Q161" s="10"/>
      <c r="R161" s="9"/>
      <c r="S161" s="9"/>
    </row>
    <row r="162" spans="2:19" x14ac:dyDescent="0.2">
      <c r="B162" s="9"/>
      <c r="C162" s="10"/>
      <c r="D162" s="10"/>
      <c r="E162" s="10"/>
      <c r="F162" s="9"/>
      <c r="G162" s="10"/>
      <c r="H162" s="10"/>
      <c r="I162" s="10"/>
      <c r="J162" s="10"/>
      <c r="K162" s="10"/>
      <c r="L162" s="10"/>
      <c r="M162" s="10"/>
      <c r="N162" s="10"/>
      <c r="O162" s="10"/>
      <c r="P162" s="10"/>
      <c r="Q162" s="10"/>
      <c r="R162" s="9"/>
      <c r="S162" s="9"/>
    </row>
    <row r="163" spans="2:19" x14ac:dyDescent="0.2">
      <c r="B163" s="9"/>
      <c r="C163" s="10"/>
      <c r="D163" s="10"/>
      <c r="E163" s="10"/>
      <c r="F163" s="9"/>
      <c r="G163" s="10"/>
      <c r="H163" s="10"/>
      <c r="I163" s="10"/>
      <c r="J163" s="10"/>
      <c r="K163" s="10"/>
      <c r="L163" s="10"/>
      <c r="M163" s="10"/>
      <c r="N163" s="10"/>
      <c r="O163" s="10"/>
      <c r="P163" s="10"/>
      <c r="Q163" s="10"/>
      <c r="R163" s="9"/>
      <c r="S163" s="9"/>
    </row>
    <row r="164" spans="2:19" x14ac:dyDescent="0.2">
      <c r="B164" s="9"/>
      <c r="C164" s="10"/>
      <c r="D164" s="10"/>
      <c r="E164" s="10"/>
      <c r="F164" s="9"/>
      <c r="G164" s="10"/>
      <c r="H164" s="10"/>
      <c r="I164" s="10"/>
      <c r="J164" s="10"/>
      <c r="K164" s="10"/>
      <c r="L164" s="10"/>
      <c r="M164" s="10"/>
      <c r="N164" s="10"/>
      <c r="O164" s="10"/>
      <c r="P164" s="10"/>
      <c r="Q164" s="10"/>
      <c r="R164" s="9"/>
      <c r="S164" s="9"/>
    </row>
    <row r="165" spans="2:19" x14ac:dyDescent="0.2">
      <c r="B165" s="9"/>
      <c r="C165" s="10"/>
      <c r="D165" s="10"/>
      <c r="E165" s="10"/>
      <c r="F165" s="9"/>
      <c r="G165" s="10"/>
      <c r="H165" s="10"/>
      <c r="I165" s="10"/>
      <c r="J165" s="10"/>
      <c r="K165" s="10"/>
      <c r="L165" s="10"/>
      <c r="M165" s="10"/>
      <c r="N165" s="10"/>
      <c r="O165" s="10"/>
      <c r="P165" s="10"/>
      <c r="Q165" s="10"/>
      <c r="R165" s="9"/>
      <c r="S165" s="9"/>
    </row>
    <row r="166" spans="2:19" x14ac:dyDescent="0.2">
      <c r="B166" s="9"/>
      <c r="C166" s="10"/>
      <c r="D166" s="10"/>
      <c r="E166" s="10"/>
      <c r="F166" s="9"/>
      <c r="G166" s="10"/>
      <c r="H166" s="10"/>
      <c r="I166" s="10"/>
      <c r="J166" s="10"/>
      <c r="K166" s="10"/>
      <c r="L166" s="10"/>
      <c r="M166" s="10"/>
      <c r="N166" s="10"/>
      <c r="O166" s="10"/>
      <c r="P166" s="10"/>
      <c r="Q166" s="10"/>
      <c r="R166" s="9"/>
      <c r="S166" s="9"/>
    </row>
    <row r="167" spans="2:19" x14ac:dyDescent="0.2">
      <c r="B167" s="9"/>
      <c r="C167" s="10"/>
      <c r="D167" s="10"/>
      <c r="E167" s="10"/>
      <c r="F167" s="9"/>
      <c r="G167" s="10"/>
      <c r="H167" s="10"/>
      <c r="I167" s="10"/>
      <c r="J167" s="10"/>
      <c r="K167" s="10"/>
      <c r="L167" s="10"/>
      <c r="M167" s="10"/>
      <c r="N167" s="10"/>
      <c r="O167" s="10"/>
      <c r="P167" s="10"/>
      <c r="Q167" s="10"/>
      <c r="R167" s="9"/>
      <c r="S167" s="9"/>
    </row>
    <row r="168" spans="2:19" x14ac:dyDescent="0.2">
      <c r="B168" s="9"/>
      <c r="C168" s="10"/>
      <c r="D168" s="10"/>
      <c r="E168" s="10"/>
      <c r="F168" s="9"/>
      <c r="G168" s="10"/>
      <c r="H168" s="10"/>
      <c r="I168" s="10"/>
      <c r="J168" s="10"/>
      <c r="K168" s="10"/>
      <c r="L168" s="10"/>
      <c r="M168" s="10"/>
      <c r="N168" s="10"/>
      <c r="O168" s="10"/>
      <c r="P168" s="10"/>
      <c r="Q168" s="10"/>
      <c r="R168" s="9"/>
      <c r="S168" s="9"/>
    </row>
    <row r="169" spans="2:19" x14ac:dyDescent="0.2">
      <c r="B169" s="9"/>
      <c r="C169" s="10"/>
      <c r="D169" s="10"/>
      <c r="E169" s="10"/>
      <c r="F169" s="9"/>
      <c r="G169" s="10"/>
      <c r="H169" s="10"/>
      <c r="I169" s="10"/>
      <c r="J169" s="10"/>
      <c r="K169" s="10"/>
      <c r="L169" s="10"/>
      <c r="M169" s="10"/>
      <c r="N169" s="10"/>
      <c r="O169" s="10"/>
      <c r="P169" s="10"/>
      <c r="Q169" s="10"/>
      <c r="R169" s="9"/>
      <c r="S169" s="9"/>
    </row>
    <row r="170" spans="2:19" x14ac:dyDescent="0.2">
      <c r="B170" s="9"/>
      <c r="C170" s="10"/>
      <c r="D170" s="10"/>
      <c r="E170" s="10"/>
      <c r="F170" s="9"/>
      <c r="G170" s="10"/>
      <c r="H170" s="10"/>
      <c r="I170" s="10"/>
      <c r="J170" s="10"/>
      <c r="K170" s="10"/>
      <c r="L170" s="10"/>
      <c r="M170" s="10"/>
      <c r="N170" s="10"/>
      <c r="O170" s="10"/>
      <c r="P170" s="10"/>
      <c r="Q170" s="10"/>
      <c r="R170" s="9"/>
      <c r="S170" s="9"/>
    </row>
    <row r="171" spans="2:19" x14ac:dyDescent="0.2">
      <c r="B171" s="9"/>
      <c r="C171" s="10"/>
      <c r="D171" s="10"/>
      <c r="E171" s="10"/>
      <c r="F171" s="9"/>
      <c r="G171" s="10"/>
      <c r="H171" s="10"/>
      <c r="I171" s="10"/>
      <c r="J171" s="10"/>
      <c r="K171" s="10"/>
      <c r="L171" s="10"/>
      <c r="M171" s="10"/>
      <c r="N171" s="10"/>
      <c r="O171" s="10"/>
      <c r="P171" s="10"/>
      <c r="Q171" s="10"/>
      <c r="R171" s="9"/>
      <c r="S171" s="9"/>
    </row>
    <row r="172" spans="2:19" x14ac:dyDescent="0.2">
      <c r="B172" s="9"/>
      <c r="C172" s="10"/>
      <c r="D172" s="10"/>
      <c r="E172" s="10"/>
      <c r="F172" s="9"/>
      <c r="G172" s="10"/>
      <c r="H172" s="10"/>
      <c r="I172" s="10"/>
      <c r="J172" s="10"/>
      <c r="K172" s="10"/>
      <c r="L172" s="10"/>
      <c r="M172" s="10"/>
      <c r="N172" s="10"/>
      <c r="O172" s="10"/>
      <c r="P172" s="10"/>
      <c r="Q172" s="10"/>
      <c r="R172" s="9"/>
      <c r="S172" s="9"/>
    </row>
    <row r="173" spans="2:19" x14ac:dyDescent="0.2">
      <c r="B173" s="9"/>
      <c r="C173" s="10"/>
      <c r="D173" s="10"/>
      <c r="E173" s="10"/>
      <c r="F173" s="9"/>
      <c r="G173" s="10"/>
      <c r="H173" s="10"/>
      <c r="I173" s="10"/>
      <c r="J173" s="10"/>
      <c r="K173" s="10"/>
      <c r="L173" s="10"/>
      <c r="M173" s="10"/>
      <c r="N173" s="10"/>
      <c r="O173" s="10"/>
      <c r="P173" s="10"/>
      <c r="Q173" s="10"/>
      <c r="R173" s="9"/>
      <c r="S173" s="9"/>
    </row>
    <row r="174" spans="2:19" x14ac:dyDescent="0.2">
      <c r="B174" s="9"/>
      <c r="C174" s="10"/>
      <c r="D174" s="10"/>
      <c r="E174" s="10"/>
      <c r="F174" s="9"/>
      <c r="G174" s="10"/>
      <c r="H174" s="10"/>
      <c r="I174" s="10"/>
      <c r="J174" s="10"/>
      <c r="K174" s="10"/>
      <c r="L174" s="10"/>
      <c r="M174" s="10"/>
      <c r="N174" s="10"/>
      <c r="O174" s="10"/>
      <c r="P174" s="10"/>
      <c r="Q174" s="10"/>
      <c r="R174" s="9"/>
      <c r="S174" s="9"/>
    </row>
    <row r="175" spans="2:19" x14ac:dyDescent="0.2">
      <c r="B175" s="9"/>
      <c r="C175" s="10"/>
      <c r="D175" s="10"/>
      <c r="E175" s="10"/>
      <c r="F175" s="9"/>
      <c r="G175" s="10"/>
      <c r="H175" s="10"/>
      <c r="I175" s="10"/>
      <c r="J175" s="10"/>
      <c r="K175" s="10"/>
      <c r="L175" s="10"/>
      <c r="M175" s="10"/>
      <c r="N175" s="10"/>
      <c r="O175" s="10"/>
      <c r="P175" s="10"/>
      <c r="Q175" s="10"/>
      <c r="R175" s="9"/>
      <c r="S175" s="9"/>
    </row>
    <row r="176" spans="2:19" x14ac:dyDescent="0.2">
      <c r="B176" s="9"/>
      <c r="C176" s="10"/>
      <c r="D176" s="10"/>
      <c r="E176" s="10"/>
      <c r="F176" s="9"/>
      <c r="G176" s="10"/>
      <c r="H176" s="10"/>
      <c r="I176" s="10"/>
      <c r="J176" s="10"/>
      <c r="K176" s="10"/>
      <c r="L176" s="10"/>
      <c r="M176" s="10"/>
      <c r="N176" s="10"/>
      <c r="O176" s="10"/>
      <c r="P176" s="10"/>
      <c r="Q176" s="10"/>
      <c r="R176" s="9"/>
      <c r="S176" s="9"/>
    </row>
    <row r="177" spans="2:19" x14ac:dyDescent="0.2">
      <c r="B177" s="9"/>
      <c r="C177" s="10"/>
      <c r="D177" s="10"/>
      <c r="E177" s="10"/>
      <c r="F177" s="9"/>
      <c r="G177" s="10"/>
      <c r="H177" s="10"/>
      <c r="I177" s="10"/>
      <c r="J177" s="10"/>
      <c r="K177" s="10"/>
      <c r="L177" s="10"/>
      <c r="M177" s="10"/>
      <c r="N177" s="10"/>
      <c r="O177" s="10"/>
      <c r="P177" s="10"/>
      <c r="Q177" s="10"/>
      <c r="R177" s="9"/>
      <c r="S177" s="9"/>
    </row>
    <row r="178" spans="2:19" x14ac:dyDescent="0.2">
      <c r="B178" s="9"/>
      <c r="C178" s="10"/>
      <c r="D178" s="10"/>
      <c r="E178" s="10"/>
      <c r="F178" s="9"/>
      <c r="G178" s="10"/>
      <c r="H178" s="10"/>
      <c r="I178" s="10"/>
      <c r="J178" s="10"/>
      <c r="K178" s="10"/>
      <c r="L178" s="10"/>
      <c r="M178" s="10"/>
      <c r="N178" s="10"/>
      <c r="O178" s="10"/>
      <c r="P178" s="10"/>
      <c r="Q178" s="10"/>
      <c r="R178" s="9"/>
      <c r="S178" s="9"/>
    </row>
    <row r="179" spans="2:19" x14ac:dyDescent="0.2">
      <c r="B179" s="9"/>
      <c r="C179" s="10"/>
      <c r="D179" s="10"/>
      <c r="E179" s="10"/>
      <c r="F179" s="9"/>
      <c r="G179" s="10"/>
      <c r="H179" s="10"/>
      <c r="I179" s="10"/>
      <c r="J179" s="10"/>
      <c r="K179" s="10"/>
      <c r="L179" s="10"/>
      <c r="M179" s="10"/>
      <c r="N179" s="10"/>
      <c r="O179" s="10"/>
      <c r="P179" s="10"/>
      <c r="Q179" s="10"/>
      <c r="R179" s="9"/>
      <c r="S179" s="9"/>
    </row>
    <row r="180" spans="2:19" x14ac:dyDescent="0.2">
      <c r="B180" s="9"/>
      <c r="C180" s="10"/>
      <c r="D180" s="10"/>
      <c r="E180" s="10"/>
      <c r="F180" s="9"/>
      <c r="G180" s="10"/>
      <c r="H180" s="10"/>
      <c r="I180" s="10"/>
      <c r="J180" s="10"/>
      <c r="K180" s="10"/>
      <c r="L180" s="10"/>
      <c r="M180" s="10"/>
      <c r="N180" s="10"/>
      <c r="O180" s="10"/>
      <c r="P180" s="10"/>
      <c r="Q180" s="10"/>
      <c r="R180" s="9"/>
      <c r="S180" s="9"/>
    </row>
    <row r="181" spans="2:19" x14ac:dyDescent="0.2">
      <c r="B181" s="9"/>
      <c r="C181" s="10"/>
      <c r="D181" s="10"/>
      <c r="E181" s="10"/>
      <c r="F181" s="9"/>
      <c r="G181" s="10"/>
      <c r="H181" s="10"/>
      <c r="I181" s="10"/>
      <c r="J181" s="10"/>
      <c r="K181" s="10"/>
      <c r="L181" s="10"/>
      <c r="M181" s="10"/>
      <c r="N181" s="10"/>
      <c r="O181" s="10"/>
      <c r="P181" s="10"/>
      <c r="Q181" s="10"/>
      <c r="R181" s="9"/>
      <c r="S181" s="9"/>
    </row>
    <row r="182" spans="2:19" x14ac:dyDescent="0.2">
      <c r="B182" s="9"/>
      <c r="C182" s="10"/>
      <c r="D182" s="10"/>
      <c r="E182" s="10"/>
      <c r="F182" s="9"/>
      <c r="G182" s="10"/>
      <c r="H182" s="10"/>
      <c r="I182" s="10"/>
      <c r="J182" s="10"/>
      <c r="K182" s="10"/>
      <c r="L182" s="10"/>
      <c r="M182" s="10"/>
      <c r="N182" s="10"/>
      <c r="O182" s="10"/>
      <c r="P182" s="10"/>
      <c r="Q182" s="10"/>
      <c r="R182" s="9"/>
      <c r="S182" s="9"/>
    </row>
    <row r="183" spans="2:19" x14ac:dyDescent="0.2">
      <c r="B183" s="9"/>
      <c r="C183" s="10"/>
      <c r="D183" s="10"/>
      <c r="E183" s="10"/>
      <c r="F183" s="9"/>
      <c r="G183" s="10"/>
      <c r="H183" s="10"/>
      <c r="I183" s="10"/>
      <c r="J183" s="10"/>
      <c r="K183" s="10"/>
      <c r="L183" s="10"/>
      <c r="M183" s="10"/>
      <c r="N183" s="10"/>
      <c r="O183" s="10"/>
      <c r="P183" s="10"/>
      <c r="Q183" s="10"/>
      <c r="R183" s="9"/>
      <c r="S183" s="9"/>
    </row>
    <row r="184" spans="2:19" x14ac:dyDescent="0.2">
      <c r="B184" s="9"/>
      <c r="C184" s="10"/>
      <c r="D184" s="10"/>
      <c r="E184" s="10"/>
      <c r="F184" s="9"/>
      <c r="G184" s="10"/>
      <c r="H184" s="10"/>
      <c r="I184" s="10"/>
      <c r="J184" s="10"/>
      <c r="K184" s="10"/>
      <c r="L184" s="10"/>
      <c r="M184" s="10"/>
      <c r="N184" s="10"/>
      <c r="O184" s="10"/>
      <c r="P184" s="10"/>
      <c r="Q184" s="10"/>
      <c r="R184" s="9"/>
      <c r="S184" s="9"/>
    </row>
    <row r="185" spans="2:19" x14ac:dyDescent="0.2">
      <c r="B185" s="9"/>
      <c r="C185" s="10"/>
      <c r="D185" s="10"/>
      <c r="E185" s="10"/>
      <c r="F185" s="9"/>
      <c r="G185" s="10"/>
      <c r="H185" s="10"/>
      <c r="I185" s="10"/>
      <c r="J185" s="10"/>
      <c r="K185" s="10"/>
      <c r="L185" s="10"/>
      <c r="M185" s="10"/>
      <c r="N185" s="10"/>
      <c r="O185" s="10"/>
      <c r="P185" s="10"/>
      <c r="Q185" s="10"/>
      <c r="R185" s="9"/>
      <c r="S185" s="9"/>
    </row>
    <row r="186" spans="2:19" x14ac:dyDescent="0.2">
      <c r="B186" s="9"/>
      <c r="C186" s="10"/>
      <c r="D186" s="10"/>
      <c r="E186" s="10"/>
      <c r="F186" s="9"/>
      <c r="G186" s="10"/>
      <c r="H186" s="10"/>
      <c r="I186" s="10"/>
      <c r="J186" s="10"/>
      <c r="K186" s="10"/>
      <c r="L186" s="10"/>
      <c r="M186" s="10"/>
      <c r="N186" s="10"/>
      <c r="O186" s="10"/>
      <c r="P186" s="10"/>
      <c r="Q186" s="10"/>
      <c r="R186" s="9"/>
      <c r="S186" s="9"/>
    </row>
    <row r="187" spans="2:19" x14ac:dyDescent="0.2">
      <c r="B187" s="9"/>
      <c r="C187" s="10"/>
      <c r="D187" s="10"/>
      <c r="E187" s="10"/>
      <c r="F187" s="9"/>
      <c r="G187" s="10"/>
      <c r="H187" s="10"/>
      <c r="I187" s="10"/>
      <c r="J187" s="10"/>
      <c r="K187" s="10"/>
      <c r="L187" s="10"/>
      <c r="M187" s="10"/>
      <c r="N187" s="10"/>
      <c r="O187" s="10"/>
      <c r="P187" s="10"/>
      <c r="Q187" s="10"/>
      <c r="R187" s="9"/>
      <c r="S187" s="9"/>
    </row>
    <row r="188" spans="2:19" x14ac:dyDescent="0.2">
      <c r="B188" s="9"/>
      <c r="C188" s="10"/>
      <c r="D188" s="10"/>
      <c r="E188" s="10"/>
      <c r="F188" s="9"/>
      <c r="G188" s="10"/>
      <c r="H188" s="10"/>
      <c r="I188" s="10"/>
      <c r="J188" s="10"/>
      <c r="K188" s="10"/>
      <c r="L188" s="10"/>
      <c r="M188" s="10"/>
      <c r="N188" s="10"/>
      <c r="O188" s="10"/>
      <c r="P188" s="10"/>
      <c r="Q188" s="10"/>
      <c r="R188" s="9"/>
      <c r="S188" s="9"/>
    </row>
    <row r="189" spans="2:19" x14ac:dyDescent="0.2">
      <c r="B189" s="9"/>
      <c r="C189" s="10"/>
      <c r="D189" s="10"/>
      <c r="E189" s="10"/>
      <c r="F189" s="9"/>
      <c r="G189" s="10"/>
      <c r="H189" s="10"/>
      <c r="I189" s="10"/>
      <c r="J189" s="10"/>
      <c r="K189" s="10"/>
      <c r="L189" s="10"/>
      <c r="M189" s="10"/>
      <c r="N189" s="10"/>
      <c r="O189" s="10"/>
      <c r="P189" s="10"/>
      <c r="Q189" s="10"/>
      <c r="R189" s="9"/>
      <c r="S189" s="9"/>
    </row>
    <row r="190" spans="2:19" x14ac:dyDescent="0.2">
      <c r="B190" s="9"/>
      <c r="C190" s="10"/>
      <c r="D190" s="10"/>
      <c r="E190" s="10"/>
      <c r="F190" s="9"/>
      <c r="G190" s="10"/>
      <c r="H190" s="10"/>
      <c r="I190" s="10"/>
      <c r="J190" s="10"/>
      <c r="K190" s="10"/>
      <c r="L190" s="10"/>
      <c r="M190" s="10"/>
      <c r="N190" s="10"/>
      <c r="O190" s="10"/>
      <c r="P190" s="10"/>
      <c r="Q190" s="10"/>
      <c r="R190" s="9"/>
      <c r="S190" s="9"/>
    </row>
    <row r="191" spans="2:19" x14ac:dyDescent="0.2">
      <c r="B191" s="9"/>
      <c r="C191" s="10"/>
      <c r="D191" s="10"/>
      <c r="E191" s="10"/>
      <c r="F191" s="9"/>
      <c r="G191" s="10"/>
      <c r="H191" s="10"/>
      <c r="I191" s="10"/>
      <c r="J191" s="10"/>
      <c r="K191" s="10"/>
      <c r="L191" s="10"/>
      <c r="M191" s="10"/>
      <c r="N191" s="10"/>
      <c r="O191" s="10"/>
      <c r="P191" s="10"/>
      <c r="Q191" s="10"/>
      <c r="R191" s="9"/>
      <c r="S191" s="9"/>
    </row>
    <row r="192" spans="2:19" x14ac:dyDescent="0.2">
      <c r="B192" s="9"/>
      <c r="C192" s="10"/>
      <c r="D192" s="10"/>
      <c r="E192" s="10"/>
      <c r="F192" s="9"/>
      <c r="G192" s="10"/>
      <c r="H192" s="10"/>
      <c r="I192" s="10"/>
      <c r="J192" s="10"/>
      <c r="K192" s="10"/>
      <c r="L192" s="10"/>
      <c r="M192" s="10"/>
      <c r="N192" s="10"/>
      <c r="O192" s="10"/>
      <c r="P192" s="10"/>
      <c r="Q192" s="10"/>
      <c r="R192" s="9"/>
      <c r="S192" s="9"/>
    </row>
    <row r="193" spans="2:19" x14ac:dyDescent="0.2">
      <c r="B193" s="9"/>
      <c r="C193" s="10"/>
      <c r="D193" s="10"/>
      <c r="E193" s="10"/>
      <c r="F193" s="9"/>
      <c r="G193" s="10"/>
      <c r="H193" s="10"/>
      <c r="I193" s="10"/>
      <c r="J193" s="10"/>
      <c r="K193" s="10"/>
      <c r="L193" s="10"/>
      <c r="M193" s="10"/>
      <c r="N193" s="10"/>
      <c r="O193" s="10"/>
      <c r="P193" s="10"/>
      <c r="Q193" s="10"/>
      <c r="R193" s="9"/>
      <c r="S193" s="9"/>
    </row>
    <row r="194" spans="2:19" x14ac:dyDescent="0.2">
      <c r="B194" s="9"/>
      <c r="C194" s="10"/>
      <c r="D194" s="10"/>
      <c r="E194" s="10"/>
      <c r="F194" s="9"/>
      <c r="G194" s="10"/>
      <c r="H194" s="10"/>
      <c r="I194" s="10"/>
      <c r="J194" s="10"/>
      <c r="K194" s="10"/>
      <c r="L194" s="10"/>
      <c r="M194" s="10"/>
      <c r="N194" s="10"/>
      <c r="O194" s="10"/>
      <c r="P194" s="10"/>
      <c r="Q194" s="10"/>
      <c r="R194" s="9"/>
      <c r="S194" s="9"/>
    </row>
    <row r="195" spans="2:19" x14ac:dyDescent="0.2">
      <c r="B195" s="9"/>
      <c r="C195" s="10"/>
      <c r="D195" s="10"/>
      <c r="E195" s="10"/>
      <c r="F195" s="9"/>
      <c r="G195" s="10"/>
      <c r="H195" s="10"/>
      <c r="I195" s="10"/>
      <c r="J195" s="10"/>
      <c r="K195" s="10"/>
      <c r="L195" s="10"/>
      <c r="M195" s="10"/>
      <c r="N195" s="10"/>
      <c r="O195" s="10"/>
      <c r="P195" s="10"/>
      <c r="Q195" s="10"/>
      <c r="R195" s="9"/>
      <c r="S195" s="9"/>
    </row>
    <row r="196" spans="2:19" x14ac:dyDescent="0.2">
      <c r="B196" s="9"/>
      <c r="C196" s="10"/>
      <c r="D196" s="10"/>
      <c r="E196" s="10"/>
      <c r="F196" s="9"/>
      <c r="G196" s="10"/>
      <c r="H196" s="10"/>
      <c r="I196" s="10"/>
      <c r="J196" s="10"/>
      <c r="K196" s="10"/>
      <c r="L196" s="10"/>
      <c r="M196" s="10"/>
      <c r="N196" s="10"/>
      <c r="O196" s="10"/>
      <c r="P196" s="10"/>
      <c r="Q196" s="10"/>
      <c r="R196" s="9"/>
      <c r="S196" s="9"/>
    </row>
    <row r="197" spans="2:19" x14ac:dyDescent="0.2">
      <c r="B197" s="9"/>
      <c r="C197" s="10"/>
      <c r="D197" s="10"/>
      <c r="E197" s="10"/>
      <c r="F197" s="9"/>
      <c r="G197" s="10"/>
      <c r="H197" s="10"/>
      <c r="I197" s="10"/>
      <c r="J197" s="10"/>
      <c r="K197" s="10"/>
      <c r="L197" s="10"/>
      <c r="M197" s="10"/>
      <c r="N197" s="10"/>
      <c r="O197" s="10"/>
      <c r="P197" s="10"/>
      <c r="Q197" s="10"/>
      <c r="R197" s="9"/>
      <c r="S197" s="9"/>
    </row>
    <row r="198" spans="2:19" x14ac:dyDescent="0.2">
      <c r="B198" s="9"/>
      <c r="C198" s="10"/>
      <c r="D198" s="10"/>
      <c r="E198" s="10"/>
      <c r="F198" s="9"/>
      <c r="G198" s="10"/>
      <c r="H198" s="10"/>
      <c r="I198" s="10"/>
      <c r="J198" s="10"/>
      <c r="K198" s="10"/>
      <c r="L198" s="10"/>
      <c r="M198" s="10"/>
      <c r="N198" s="10"/>
      <c r="O198" s="10"/>
      <c r="P198" s="10"/>
      <c r="Q198" s="10"/>
      <c r="R198" s="9"/>
      <c r="S198" s="9"/>
    </row>
    <row r="199" spans="2:19" x14ac:dyDescent="0.2">
      <c r="B199" s="9"/>
      <c r="C199" s="10"/>
      <c r="D199" s="10"/>
      <c r="E199" s="10"/>
      <c r="F199" s="9"/>
      <c r="G199" s="10"/>
      <c r="H199" s="10"/>
      <c r="I199" s="10"/>
      <c r="J199" s="10"/>
      <c r="K199" s="10"/>
      <c r="L199" s="10"/>
      <c r="M199" s="10"/>
      <c r="N199" s="10"/>
      <c r="O199" s="10"/>
      <c r="P199" s="10"/>
      <c r="Q199" s="10"/>
      <c r="R199" s="9"/>
      <c r="S199" s="9"/>
    </row>
    <row r="200" spans="2:19" x14ac:dyDescent="0.2">
      <c r="B200" s="9"/>
      <c r="C200" s="10"/>
      <c r="D200" s="10"/>
      <c r="E200" s="10"/>
      <c r="F200" s="9"/>
      <c r="G200" s="10"/>
      <c r="H200" s="10"/>
      <c r="I200" s="10"/>
      <c r="J200" s="10"/>
      <c r="K200" s="10"/>
      <c r="L200" s="10"/>
      <c r="M200" s="10"/>
      <c r="N200" s="10"/>
      <c r="O200" s="10"/>
      <c r="P200" s="10"/>
      <c r="Q200" s="10"/>
      <c r="R200" s="9"/>
      <c r="S200" s="9"/>
    </row>
    <row r="201" spans="2:19" x14ac:dyDescent="0.2">
      <c r="B201" s="9"/>
      <c r="C201" s="10"/>
      <c r="D201" s="10"/>
      <c r="E201" s="10"/>
      <c r="F201" s="9"/>
      <c r="G201" s="10"/>
      <c r="H201" s="10"/>
      <c r="I201" s="10"/>
      <c r="J201" s="10"/>
      <c r="K201" s="10"/>
      <c r="L201" s="10"/>
      <c r="M201" s="10"/>
      <c r="N201" s="10"/>
      <c r="O201" s="10"/>
      <c r="P201" s="10"/>
      <c r="Q201" s="10"/>
      <c r="R201" s="9"/>
      <c r="S201" s="9"/>
    </row>
    <row r="202" spans="2:19" x14ac:dyDescent="0.2">
      <c r="B202" s="9"/>
      <c r="C202" s="10"/>
      <c r="D202" s="10"/>
      <c r="E202" s="10"/>
      <c r="F202" s="9"/>
      <c r="G202" s="10"/>
      <c r="H202" s="10"/>
      <c r="I202" s="10"/>
      <c r="J202" s="10"/>
      <c r="K202" s="10"/>
      <c r="L202" s="10"/>
      <c r="M202" s="10"/>
      <c r="N202" s="10"/>
      <c r="O202" s="10"/>
      <c r="P202" s="10"/>
      <c r="Q202" s="10"/>
      <c r="R202" s="9"/>
      <c r="S202" s="9"/>
    </row>
    <row r="203" spans="2:19" x14ac:dyDescent="0.2">
      <c r="B203" s="9"/>
      <c r="C203" s="10"/>
      <c r="D203" s="10"/>
      <c r="E203" s="10"/>
      <c r="F203" s="9"/>
      <c r="G203" s="10"/>
      <c r="H203" s="10"/>
      <c r="I203" s="10"/>
      <c r="J203" s="10"/>
      <c r="K203" s="10"/>
      <c r="L203" s="10"/>
      <c r="M203" s="10"/>
      <c r="N203" s="10"/>
      <c r="O203" s="10"/>
      <c r="P203" s="10"/>
      <c r="Q203" s="10"/>
      <c r="R203" s="9"/>
      <c r="S203" s="9"/>
    </row>
    <row r="204" spans="2:19" x14ac:dyDescent="0.2">
      <c r="B204" s="9"/>
      <c r="C204" s="10"/>
      <c r="D204" s="10"/>
      <c r="E204" s="10"/>
      <c r="F204" s="9"/>
      <c r="G204" s="10"/>
      <c r="H204" s="10"/>
      <c r="I204" s="10"/>
      <c r="J204" s="10"/>
      <c r="K204" s="10"/>
      <c r="L204" s="10"/>
      <c r="M204" s="10"/>
      <c r="N204" s="10"/>
      <c r="O204" s="10"/>
      <c r="P204" s="10"/>
      <c r="Q204" s="10"/>
      <c r="R204" s="9"/>
      <c r="S204" s="9"/>
    </row>
    <row r="205" spans="2:19" x14ac:dyDescent="0.2">
      <c r="B205" s="9"/>
      <c r="C205" s="10"/>
      <c r="D205" s="10"/>
      <c r="E205" s="10"/>
      <c r="F205" s="9"/>
      <c r="G205" s="10"/>
      <c r="H205" s="10"/>
      <c r="I205" s="10"/>
      <c r="J205" s="10"/>
      <c r="K205" s="10"/>
      <c r="L205" s="10"/>
      <c r="M205" s="10"/>
      <c r="N205" s="10"/>
      <c r="O205" s="10"/>
      <c r="P205" s="10"/>
      <c r="Q205" s="10"/>
      <c r="R205" s="9"/>
      <c r="S205" s="9"/>
    </row>
    <row r="206" spans="2:19" x14ac:dyDescent="0.2">
      <c r="B206" s="9"/>
      <c r="C206" s="10"/>
      <c r="D206" s="10"/>
      <c r="E206" s="10"/>
      <c r="F206" s="9"/>
      <c r="G206" s="10"/>
      <c r="H206" s="10"/>
      <c r="I206" s="10"/>
      <c r="J206" s="10"/>
      <c r="K206" s="10"/>
      <c r="L206" s="10"/>
      <c r="M206" s="10"/>
      <c r="N206" s="10"/>
      <c r="O206" s="10"/>
      <c r="P206" s="10"/>
      <c r="Q206" s="10"/>
      <c r="R206" s="9"/>
      <c r="S206" s="9"/>
    </row>
    <row r="207" spans="2:19" x14ac:dyDescent="0.2">
      <c r="B207" s="9"/>
      <c r="C207" s="10"/>
      <c r="D207" s="10"/>
      <c r="E207" s="10"/>
      <c r="F207" s="9"/>
      <c r="G207" s="10"/>
      <c r="H207" s="10"/>
      <c r="I207" s="10"/>
      <c r="J207" s="10"/>
      <c r="K207" s="10"/>
      <c r="L207" s="10"/>
      <c r="M207" s="10"/>
      <c r="N207" s="10"/>
      <c r="O207" s="10"/>
      <c r="P207" s="10"/>
      <c r="Q207" s="10"/>
      <c r="R207" s="9"/>
      <c r="S207" s="9"/>
    </row>
    <row r="208" spans="2:19" x14ac:dyDescent="0.2">
      <c r="B208" s="9"/>
      <c r="C208" s="10"/>
      <c r="D208" s="10"/>
      <c r="E208" s="10"/>
      <c r="F208" s="9"/>
      <c r="G208" s="10"/>
      <c r="H208" s="10"/>
      <c r="I208" s="10"/>
      <c r="J208" s="10"/>
      <c r="K208" s="10"/>
      <c r="L208" s="10"/>
      <c r="M208" s="10"/>
      <c r="N208" s="10"/>
      <c r="O208" s="10"/>
      <c r="P208" s="10"/>
      <c r="Q208" s="10"/>
      <c r="R208" s="9"/>
      <c r="S208" s="9"/>
    </row>
    <row r="209" spans="2:19" x14ac:dyDescent="0.2">
      <c r="B209" s="9"/>
      <c r="C209" s="10"/>
      <c r="D209" s="10"/>
      <c r="E209" s="10"/>
      <c r="F209" s="9"/>
      <c r="G209" s="10"/>
      <c r="H209" s="10"/>
      <c r="I209" s="10"/>
      <c r="J209" s="10"/>
      <c r="K209" s="10"/>
      <c r="L209" s="10"/>
      <c r="M209" s="10"/>
      <c r="N209" s="10"/>
      <c r="O209" s="10"/>
      <c r="P209" s="10"/>
      <c r="Q209" s="10"/>
      <c r="R209" s="9"/>
      <c r="S209" s="9"/>
    </row>
    <row r="210" spans="2:19" x14ac:dyDescent="0.2">
      <c r="B210" s="9"/>
      <c r="C210" s="10"/>
      <c r="D210" s="10"/>
      <c r="E210" s="10"/>
      <c r="F210" s="9"/>
      <c r="G210" s="10"/>
      <c r="H210" s="10"/>
      <c r="I210" s="10"/>
      <c r="J210" s="10"/>
      <c r="K210" s="10"/>
      <c r="L210" s="10"/>
      <c r="M210" s="10"/>
      <c r="N210" s="10"/>
      <c r="O210" s="10"/>
      <c r="P210" s="10"/>
      <c r="Q210" s="10"/>
      <c r="R210" s="9"/>
      <c r="S210" s="9"/>
    </row>
    <row r="211" spans="2:19" x14ac:dyDescent="0.2">
      <c r="B211" s="9"/>
      <c r="C211" s="10"/>
      <c r="D211" s="10"/>
      <c r="E211" s="10"/>
      <c r="F211" s="9"/>
      <c r="G211" s="10"/>
      <c r="H211" s="10"/>
      <c r="I211" s="10"/>
      <c r="J211" s="10"/>
      <c r="K211" s="10"/>
      <c r="L211" s="10"/>
      <c r="M211" s="10"/>
      <c r="N211" s="10"/>
      <c r="O211" s="10"/>
      <c r="P211" s="10"/>
      <c r="Q211" s="10"/>
      <c r="R211" s="9"/>
      <c r="S211" s="9"/>
    </row>
    <row r="212" spans="2:19" x14ac:dyDescent="0.2">
      <c r="B212" s="9"/>
      <c r="C212" s="10"/>
      <c r="D212" s="10"/>
      <c r="E212" s="10"/>
      <c r="F212" s="9"/>
      <c r="G212" s="10"/>
      <c r="H212" s="10"/>
      <c r="I212" s="10"/>
      <c r="J212" s="10"/>
      <c r="K212" s="10"/>
      <c r="L212" s="10"/>
      <c r="M212" s="10"/>
      <c r="N212" s="10"/>
      <c r="O212" s="10"/>
      <c r="P212" s="10"/>
      <c r="Q212" s="10"/>
      <c r="R212" s="9"/>
      <c r="S212" s="9"/>
    </row>
    <row r="213" spans="2:19" x14ac:dyDescent="0.2">
      <c r="B213" s="9"/>
      <c r="C213" s="10"/>
      <c r="D213" s="10"/>
      <c r="E213" s="10"/>
      <c r="F213" s="9"/>
      <c r="G213" s="10"/>
      <c r="H213" s="10"/>
      <c r="I213" s="10"/>
      <c r="J213" s="10"/>
      <c r="K213" s="10"/>
      <c r="L213" s="10"/>
      <c r="M213" s="10"/>
      <c r="N213" s="10"/>
      <c r="O213" s="10"/>
      <c r="P213" s="10"/>
      <c r="Q213" s="10"/>
      <c r="R213" s="9"/>
      <c r="S213" s="9"/>
    </row>
    <row r="214" spans="2:19" x14ac:dyDescent="0.2">
      <c r="B214" s="9"/>
      <c r="C214" s="10"/>
      <c r="D214" s="10"/>
      <c r="E214" s="10"/>
      <c r="F214" s="9"/>
      <c r="G214" s="10"/>
      <c r="H214" s="10"/>
      <c r="I214" s="10"/>
      <c r="J214" s="10"/>
      <c r="K214" s="10"/>
      <c r="L214" s="10"/>
      <c r="M214" s="10"/>
      <c r="N214" s="10"/>
      <c r="O214" s="10"/>
      <c r="P214" s="10"/>
      <c r="Q214" s="10"/>
      <c r="R214" s="9"/>
      <c r="S214" s="9"/>
    </row>
    <row r="215" spans="2:19" x14ac:dyDescent="0.2">
      <c r="B215" s="9"/>
      <c r="C215" s="10"/>
      <c r="D215" s="10"/>
      <c r="E215" s="10"/>
      <c r="F215" s="9"/>
      <c r="G215" s="10"/>
      <c r="H215" s="10"/>
      <c r="I215" s="10"/>
      <c r="J215" s="10"/>
      <c r="K215" s="10"/>
      <c r="L215" s="10"/>
      <c r="M215" s="10"/>
      <c r="N215" s="10"/>
      <c r="O215" s="10"/>
      <c r="P215" s="10"/>
      <c r="Q215" s="10"/>
      <c r="R215" s="9"/>
      <c r="S215" s="9"/>
    </row>
    <row r="216" spans="2:19" x14ac:dyDescent="0.2">
      <c r="B216" s="9"/>
      <c r="C216" s="10"/>
      <c r="D216" s="10"/>
      <c r="E216" s="10"/>
      <c r="F216" s="9"/>
      <c r="G216" s="10"/>
      <c r="H216" s="10"/>
      <c r="I216" s="10"/>
      <c r="J216" s="10"/>
      <c r="K216" s="10"/>
      <c r="L216" s="10"/>
      <c r="M216" s="10"/>
      <c r="N216" s="10"/>
      <c r="O216" s="10"/>
      <c r="P216" s="10"/>
      <c r="Q216" s="10"/>
      <c r="R216" s="9"/>
      <c r="S216" s="9"/>
    </row>
    <row r="217" spans="2:19" x14ac:dyDescent="0.2">
      <c r="B217" s="9"/>
      <c r="C217" s="10"/>
      <c r="D217" s="10"/>
      <c r="E217" s="10"/>
      <c r="F217" s="9"/>
      <c r="G217" s="10"/>
      <c r="H217" s="10"/>
      <c r="I217" s="10"/>
      <c r="J217" s="10"/>
      <c r="K217" s="10"/>
      <c r="L217" s="10"/>
      <c r="M217" s="10"/>
      <c r="N217" s="10"/>
      <c r="O217" s="10"/>
      <c r="P217" s="10"/>
      <c r="Q217" s="10"/>
      <c r="R217" s="9"/>
      <c r="S217" s="9"/>
    </row>
    <row r="218" spans="2:19" x14ac:dyDescent="0.2">
      <c r="B218" s="9"/>
      <c r="C218" s="10"/>
      <c r="D218" s="10"/>
      <c r="E218" s="10"/>
      <c r="F218" s="9"/>
      <c r="G218" s="10"/>
      <c r="H218" s="10"/>
      <c r="I218" s="10"/>
      <c r="J218" s="10"/>
      <c r="K218" s="10"/>
      <c r="L218" s="10"/>
      <c r="M218" s="10"/>
      <c r="N218" s="10"/>
      <c r="O218" s="10"/>
      <c r="P218" s="10"/>
      <c r="Q218" s="10"/>
      <c r="R218" s="9"/>
      <c r="S218" s="9"/>
    </row>
    <row r="219" spans="2:19" x14ac:dyDescent="0.2">
      <c r="B219" s="9"/>
      <c r="C219" s="10"/>
      <c r="D219" s="10"/>
      <c r="E219" s="10"/>
      <c r="F219" s="9"/>
      <c r="G219" s="10"/>
      <c r="H219" s="10"/>
      <c r="I219" s="10"/>
      <c r="J219" s="10"/>
      <c r="K219" s="10"/>
      <c r="L219" s="10"/>
      <c r="M219" s="10"/>
      <c r="N219" s="10"/>
      <c r="O219" s="10"/>
      <c r="P219" s="10"/>
      <c r="Q219" s="10"/>
      <c r="R219" s="9"/>
      <c r="S219" s="9"/>
    </row>
    <row r="220" spans="2:19" x14ac:dyDescent="0.2">
      <c r="B220" s="9"/>
      <c r="C220" s="10"/>
      <c r="D220" s="10"/>
      <c r="E220" s="10"/>
      <c r="F220" s="9"/>
      <c r="G220" s="10"/>
      <c r="H220" s="10"/>
      <c r="I220" s="10"/>
      <c r="J220" s="10"/>
      <c r="K220" s="10"/>
      <c r="L220" s="10"/>
      <c r="M220" s="10"/>
      <c r="N220" s="10"/>
      <c r="O220" s="10"/>
      <c r="P220" s="10"/>
      <c r="Q220" s="10"/>
      <c r="R220" s="9"/>
      <c r="S220" s="9"/>
    </row>
    <row r="221" spans="2:19" x14ac:dyDescent="0.2">
      <c r="B221" s="9"/>
      <c r="C221" s="10"/>
      <c r="D221" s="10"/>
      <c r="E221" s="10"/>
      <c r="F221" s="9"/>
      <c r="G221" s="10"/>
      <c r="H221" s="10"/>
      <c r="I221" s="10"/>
      <c r="J221" s="10"/>
      <c r="K221" s="10"/>
      <c r="L221" s="10"/>
      <c r="M221" s="10"/>
      <c r="N221" s="10"/>
      <c r="O221" s="10"/>
      <c r="P221" s="10"/>
      <c r="Q221" s="10"/>
      <c r="R221" s="9"/>
      <c r="S221" s="9"/>
    </row>
    <row r="222" spans="2:19" x14ac:dyDescent="0.2">
      <c r="B222" s="9"/>
      <c r="C222" s="10"/>
      <c r="D222" s="10"/>
      <c r="E222" s="10"/>
      <c r="F222" s="9"/>
      <c r="G222" s="10"/>
      <c r="H222" s="10"/>
      <c r="I222" s="10"/>
      <c r="J222" s="10"/>
      <c r="K222" s="10"/>
      <c r="L222" s="10"/>
      <c r="M222" s="10"/>
      <c r="N222" s="10"/>
      <c r="O222" s="10"/>
      <c r="P222" s="10"/>
      <c r="Q222" s="10"/>
      <c r="R222" s="9"/>
      <c r="S222" s="9"/>
    </row>
    <row r="223" spans="2:19" x14ac:dyDescent="0.2">
      <c r="B223" s="9"/>
      <c r="C223" s="10"/>
      <c r="D223" s="10"/>
      <c r="E223" s="10"/>
      <c r="F223" s="9"/>
      <c r="G223" s="10"/>
      <c r="H223" s="10"/>
      <c r="I223" s="10"/>
      <c r="J223" s="10"/>
      <c r="K223" s="10"/>
      <c r="L223" s="10"/>
      <c r="M223" s="10"/>
      <c r="N223" s="10"/>
      <c r="O223" s="10"/>
      <c r="P223" s="10"/>
      <c r="Q223" s="10"/>
      <c r="R223" s="9"/>
      <c r="S223" s="9"/>
    </row>
    <row r="224" spans="2:19" x14ac:dyDescent="0.2">
      <c r="B224" s="9"/>
      <c r="C224" s="10"/>
      <c r="D224" s="10"/>
      <c r="E224" s="10"/>
      <c r="F224" s="9"/>
      <c r="G224" s="10"/>
      <c r="H224" s="10"/>
      <c r="I224" s="10"/>
      <c r="J224" s="10"/>
      <c r="K224" s="10"/>
      <c r="L224" s="10"/>
      <c r="M224" s="10"/>
      <c r="N224" s="10"/>
      <c r="O224" s="10"/>
      <c r="P224" s="10"/>
      <c r="Q224" s="10"/>
      <c r="R224" s="9"/>
      <c r="S224" s="9"/>
    </row>
    <row r="225" spans="2:19" x14ac:dyDescent="0.2">
      <c r="B225" s="9"/>
      <c r="C225" s="10"/>
      <c r="D225" s="10"/>
      <c r="E225" s="10"/>
      <c r="F225" s="9"/>
      <c r="G225" s="10"/>
      <c r="H225" s="10"/>
      <c r="I225" s="10"/>
      <c r="J225" s="10"/>
      <c r="K225" s="10"/>
      <c r="L225" s="10"/>
      <c r="M225" s="10"/>
      <c r="N225" s="10"/>
      <c r="O225" s="10"/>
      <c r="P225" s="10"/>
      <c r="Q225" s="10"/>
      <c r="R225" s="9"/>
      <c r="S225" s="9"/>
    </row>
    <row r="226" spans="2:19" x14ac:dyDescent="0.2">
      <c r="B226" s="9"/>
      <c r="C226" s="10"/>
      <c r="D226" s="10"/>
      <c r="E226" s="10"/>
      <c r="F226" s="9"/>
      <c r="G226" s="10"/>
      <c r="H226" s="10"/>
      <c r="I226" s="10"/>
      <c r="J226" s="10"/>
      <c r="K226" s="10"/>
      <c r="L226" s="10"/>
      <c r="M226" s="10"/>
      <c r="N226" s="10"/>
      <c r="O226" s="10"/>
      <c r="P226" s="10"/>
      <c r="Q226" s="10"/>
      <c r="R226" s="9"/>
      <c r="S226" s="9"/>
    </row>
    <row r="227" spans="2:19" x14ac:dyDescent="0.2">
      <c r="B227" s="9"/>
      <c r="C227" s="10"/>
      <c r="D227" s="10"/>
      <c r="E227" s="10"/>
      <c r="F227" s="9"/>
      <c r="G227" s="10"/>
      <c r="H227" s="10"/>
      <c r="I227" s="10"/>
      <c r="J227" s="10"/>
      <c r="K227" s="10"/>
      <c r="L227" s="10"/>
      <c r="M227" s="10"/>
      <c r="N227" s="10"/>
      <c r="O227" s="10"/>
      <c r="P227" s="10"/>
      <c r="Q227" s="10"/>
      <c r="R227" s="9"/>
      <c r="S227" s="9"/>
    </row>
    <row r="228" spans="2:19" x14ac:dyDescent="0.2">
      <c r="B228" s="9"/>
      <c r="C228" s="10"/>
      <c r="D228" s="10"/>
      <c r="E228" s="10"/>
      <c r="F228" s="9"/>
      <c r="G228" s="10"/>
      <c r="H228" s="10"/>
      <c r="I228" s="10"/>
      <c r="J228" s="10"/>
      <c r="K228" s="10"/>
      <c r="L228" s="10"/>
      <c r="M228" s="10"/>
      <c r="N228" s="10"/>
      <c r="O228" s="10"/>
      <c r="P228" s="10"/>
      <c r="Q228" s="10"/>
      <c r="R228" s="9"/>
      <c r="S228" s="9"/>
    </row>
    <row r="229" spans="2:19" x14ac:dyDescent="0.2">
      <c r="B229" s="9"/>
      <c r="C229" s="10"/>
      <c r="D229" s="10"/>
      <c r="E229" s="10"/>
      <c r="F229" s="9"/>
      <c r="G229" s="10"/>
      <c r="H229" s="10"/>
      <c r="I229" s="10"/>
      <c r="J229" s="10"/>
      <c r="K229" s="10"/>
      <c r="L229" s="10"/>
      <c r="M229" s="10"/>
      <c r="N229" s="10"/>
      <c r="O229" s="10"/>
      <c r="P229" s="10"/>
      <c r="Q229" s="10"/>
      <c r="R229" s="9"/>
      <c r="S229" s="9"/>
    </row>
    <row r="230" spans="2:19" x14ac:dyDescent="0.2">
      <c r="B230" s="9"/>
      <c r="C230" s="10"/>
      <c r="D230" s="10"/>
      <c r="E230" s="10"/>
      <c r="F230" s="9"/>
      <c r="G230" s="10"/>
      <c r="H230" s="10"/>
      <c r="I230" s="10"/>
      <c r="J230" s="10"/>
      <c r="K230" s="10"/>
      <c r="L230" s="10"/>
      <c r="M230" s="10"/>
      <c r="N230" s="10"/>
      <c r="O230" s="10"/>
      <c r="P230" s="10"/>
      <c r="Q230" s="10"/>
      <c r="R230" s="9"/>
      <c r="S230" s="9"/>
    </row>
    <row r="231" spans="2:19" x14ac:dyDescent="0.2">
      <c r="B231" s="9"/>
      <c r="C231" s="10"/>
      <c r="D231" s="10"/>
      <c r="E231" s="10"/>
      <c r="F231" s="9"/>
      <c r="G231" s="10"/>
      <c r="H231" s="10"/>
      <c r="I231" s="10"/>
      <c r="J231" s="10"/>
      <c r="K231" s="10"/>
      <c r="L231" s="10"/>
      <c r="M231" s="10"/>
      <c r="N231" s="10"/>
      <c r="O231" s="10"/>
      <c r="P231" s="10"/>
      <c r="Q231" s="10"/>
      <c r="R231" s="9"/>
      <c r="S231" s="9"/>
    </row>
    <row r="232" spans="2:19" x14ac:dyDescent="0.2">
      <c r="B232" s="9"/>
      <c r="C232" s="10"/>
      <c r="D232" s="10"/>
      <c r="E232" s="10"/>
      <c r="F232" s="9"/>
      <c r="G232" s="10"/>
      <c r="H232" s="10"/>
      <c r="I232" s="10"/>
      <c r="J232" s="10"/>
      <c r="K232" s="10"/>
      <c r="L232" s="10"/>
      <c r="M232" s="10"/>
      <c r="N232" s="10"/>
      <c r="O232" s="10"/>
      <c r="P232" s="10"/>
      <c r="Q232" s="10"/>
      <c r="R232" s="9"/>
      <c r="S232" s="9"/>
    </row>
    <row r="233" spans="2:19" x14ac:dyDescent="0.2">
      <c r="B233" s="9"/>
      <c r="C233" s="10"/>
      <c r="D233" s="10"/>
      <c r="E233" s="10"/>
      <c r="F233" s="9"/>
      <c r="G233" s="10"/>
      <c r="H233" s="10"/>
      <c r="I233" s="10"/>
      <c r="J233" s="10"/>
      <c r="K233" s="10"/>
      <c r="L233" s="10"/>
      <c r="M233" s="10"/>
      <c r="N233" s="10"/>
      <c r="O233" s="10"/>
      <c r="P233" s="10"/>
      <c r="Q233" s="10"/>
      <c r="R233" s="9"/>
      <c r="S233" s="9"/>
    </row>
    <row r="234" spans="2:19" x14ac:dyDescent="0.2">
      <c r="B234" s="9"/>
      <c r="C234" s="10"/>
      <c r="D234" s="10"/>
      <c r="E234" s="10"/>
      <c r="F234" s="9"/>
      <c r="G234" s="10"/>
      <c r="H234" s="10"/>
      <c r="I234" s="10"/>
      <c r="J234" s="10"/>
      <c r="K234" s="10"/>
      <c r="L234" s="10"/>
      <c r="M234" s="10"/>
      <c r="N234" s="10"/>
      <c r="O234" s="10"/>
      <c r="P234" s="10"/>
      <c r="Q234" s="10"/>
      <c r="R234" s="9"/>
      <c r="S234" s="9"/>
    </row>
    <row r="235" spans="2:19" x14ac:dyDescent="0.2">
      <c r="B235" s="9"/>
      <c r="C235" s="10"/>
      <c r="D235" s="10"/>
      <c r="E235" s="10"/>
      <c r="F235" s="9"/>
      <c r="G235" s="10"/>
      <c r="H235" s="10"/>
      <c r="I235" s="10"/>
      <c r="J235" s="10"/>
      <c r="K235" s="10"/>
      <c r="L235" s="10"/>
      <c r="M235" s="10"/>
      <c r="N235" s="10"/>
      <c r="O235" s="10"/>
      <c r="P235" s="10"/>
      <c r="Q235" s="10"/>
      <c r="R235" s="9"/>
      <c r="S235" s="9"/>
    </row>
    <row r="236" spans="2:19" x14ac:dyDescent="0.2">
      <c r="B236" s="9"/>
      <c r="C236" s="10"/>
      <c r="D236" s="10"/>
      <c r="E236" s="10"/>
      <c r="F236" s="9"/>
      <c r="G236" s="10"/>
      <c r="H236" s="10"/>
      <c r="I236" s="10"/>
      <c r="J236" s="10"/>
      <c r="K236" s="10"/>
      <c r="L236" s="10"/>
      <c r="M236" s="10"/>
      <c r="N236" s="10"/>
      <c r="O236" s="10"/>
      <c r="P236" s="10"/>
      <c r="Q236" s="10"/>
      <c r="R236" s="9"/>
      <c r="S236" s="9"/>
    </row>
    <row r="237" spans="2:19" x14ac:dyDescent="0.2">
      <c r="B237" s="9"/>
      <c r="C237" s="10"/>
      <c r="D237" s="10"/>
      <c r="E237" s="10"/>
      <c r="F237" s="9"/>
      <c r="G237" s="10"/>
      <c r="H237" s="10"/>
      <c r="I237" s="10"/>
      <c r="J237" s="10"/>
      <c r="K237" s="10"/>
      <c r="L237" s="10"/>
      <c r="M237" s="10"/>
      <c r="N237" s="10"/>
      <c r="O237" s="10"/>
      <c r="P237" s="10"/>
      <c r="Q237" s="10"/>
      <c r="R237" s="9"/>
      <c r="S237" s="9"/>
    </row>
    <row r="238" spans="2:19" x14ac:dyDescent="0.2">
      <c r="B238" s="9"/>
      <c r="C238" s="10"/>
      <c r="D238" s="10"/>
      <c r="E238" s="10"/>
      <c r="F238" s="9"/>
      <c r="G238" s="10"/>
      <c r="H238" s="10"/>
      <c r="I238" s="10"/>
      <c r="J238" s="10"/>
      <c r="K238" s="10"/>
      <c r="L238" s="10"/>
      <c r="M238" s="10"/>
      <c r="N238" s="10"/>
      <c r="O238" s="10"/>
      <c r="P238" s="10"/>
      <c r="Q238" s="10"/>
      <c r="R238" s="9"/>
      <c r="S238" s="9"/>
    </row>
    <row r="239" spans="2:19" x14ac:dyDescent="0.2">
      <c r="B239" s="9"/>
      <c r="C239" s="10"/>
      <c r="D239" s="10"/>
      <c r="E239" s="10"/>
      <c r="F239" s="9"/>
      <c r="G239" s="10"/>
      <c r="H239" s="10"/>
      <c r="I239" s="10"/>
      <c r="J239" s="10"/>
      <c r="K239" s="10"/>
      <c r="L239" s="10"/>
      <c r="M239" s="10"/>
      <c r="N239" s="10"/>
      <c r="O239" s="10"/>
      <c r="P239" s="10"/>
      <c r="Q239" s="10"/>
      <c r="R239" s="9"/>
      <c r="S239" s="9"/>
    </row>
    <row r="240" spans="2:19" x14ac:dyDescent="0.2">
      <c r="B240" s="9"/>
      <c r="C240" s="10"/>
      <c r="D240" s="10"/>
      <c r="E240" s="10"/>
      <c r="F240" s="9"/>
      <c r="G240" s="10"/>
      <c r="H240" s="10"/>
      <c r="I240" s="10"/>
      <c r="J240" s="10"/>
      <c r="K240" s="10"/>
      <c r="L240" s="10"/>
      <c r="M240" s="10"/>
      <c r="N240" s="10"/>
      <c r="O240" s="10"/>
      <c r="P240" s="10"/>
      <c r="Q240" s="10"/>
      <c r="R240" s="9"/>
      <c r="S240" s="9"/>
    </row>
    <row r="241" spans="2:19" x14ac:dyDescent="0.2">
      <c r="B241" s="9"/>
      <c r="C241" s="10"/>
      <c r="D241" s="10"/>
      <c r="E241" s="10"/>
      <c r="F241" s="9"/>
      <c r="G241" s="10"/>
      <c r="H241" s="10"/>
      <c r="I241" s="10"/>
      <c r="J241" s="10"/>
      <c r="K241" s="10"/>
      <c r="L241" s="10"/>
      <c r="M241" s="10"/>
      <c r="N241" s="10"/>
      <c r="O241" s="10"/>
      <c r="P241" s="10"/>
      <c r="Q241" s="10"/>
      <c r="R241" s="9"/>
      <c r="S241" s="9"/>
    </row>
    <row r="242" spans="2:19" x14ac:dyDescent="0.2">
      <c r="B242" s="9"/>
      <c r="C242" s="10"/>
      <c r="D242" s="10"/>
      <c r="E242" s="10"/>
      <c r="F242" s="9"/>
      <c r="G242" s="10"/>
      <c r="H242" s="10"/>
      <c r="I242" s="10"/>
      <c r="J242" s="10"/>
      <c r="K242" s="10"/>
      <c r="L242" s="10"/>
      <c r="M242" s="10"/>
      <c r="N242" s="10"/>
      <c r="O242" s="10"/>
      <c r="P242" s="10"/>
      <c r="Q242" s="10"/>
      <c r="R242" s="9"/>
      <c r="S242" s="9"/>
    </row>
    <row r="243" spans="2:19" x14ac:dyDescent="0.2">
      <c r="B243" s="9"/>
      <c r="C243" s="10"/>
      <c r="D243" s="10"/>
      <c r="E243" s="10"/>
      <c r="F243" s="9"/>
      <c r="G243" s="10"/>
      <c r="H243" s="10"/>
      <c r="I243" s="10"/>
      <c r="J243" s="10"/>
      <c r="K243" s="10"/>
      <c r="L243" s="10"/>
      <c r="M243" s="10"/>
      <c r="N243" s="10"/>
      <c r="O243" s="10"/>
      <c r="P243" s="10"/>
      <c r="Q243" s="10"/>
      <c r="R243" s="9"/>
      <c r="S243" s="9"/>
    </row>
    <row r="244" spans="2:19" x14ac:dyDescent="0.2">
      <c r="B244" s="9"/>
      <c r="C244" s="10"/>
      <c r="D244" s="10"/>
      <c r="E244" s="10"/>
      <c r="F244" s="9"/>
      <c r="G244" s="10"/>
      <c r="H244" s="10"/>
      <c r="I244" s="10"/>
      <c r="J244" s="10"/>
      <c r="K244" s="10"/>
      <c r="L244" s="10"/>
      <c r="M244" s="10"/>
      <c r="N244" s="10"/>
      <c r="O244" s="10"/>
      <c r="P244" s="10"/>
      <c r="Q244" s="10"/>
      <c r="R244" s="9"/>
      <c r="S244" s="9"/>
    </row>
    <row r="245" spans="2:19" x14ac:dyDescent="0.2">
      <c r="B245" s="9"/>
      <c r="C245" s="10"/>
      <c r="D245" s="10"/>
      <c r="E245" s="10"/>
      <c r="F245" s="9"/>
      <c r="G245" s="10"/>
      <c r="H245" s="10"/>
      <c r="I245" s="10"/>
      <c r="J245" s="10"/>
      <c r="K245" s="10"/>
      <c r="L245" s="10"/>
      <c r="M245" s="10"/>
      <c r="N245" s="10"/>
      <c r="O245" s="10"/>
      <c r="P245" s="10"/>
      <c r="Q245" s="10"/>
      <c r="R245" s="9"/>
      <c r="S245" s="9"/>
    </row>
    <row r="246" spans="2:19" x14ac:dyDescent="0.2">
      <c r="B246" s="9"/>
      <c r="C246" s="10"/>
      <c r="D246" s="10"/>
      <c r="E246" s="10"/>
      <c r="F246" s="9"/>
      <c r="G246" s="10"/>
      <c r="H246" s="10"/>
      <c r="I246" s="10"/>
      <c r="J246" s="10"/>
      <c r="K246" s="10"/>
      <c r="L246" s="10"/>
      <c r="M246" s="10"/>
      <c r="N246" s="10"/>
      <c r="O246" s="10"/>
      <c r="P246" s="10"/>
      <c r="Q246" s="10"/>
      <c r="R246" s="9"/>
      <c r="S246" s="9"/>
    </row>
    <row r="247" spans="2:19" x14ac:dyDescent="0.2">
      <c r="B247" s="9"/>
      <c r="C247" s="10"/>
      <c r="D247" s="10"/>
      <c r="E247" s="10"/>
      <c r="F247" s="9"/>
      <c r="G247" s="10"/>
      <c r="H247" s="10"/>
      <c r="I247" s="10"/>
      <c r="J247" s="10"/>
      <c r="K247" s="10"/>
      <c r="L247" s="10"/>
      <c r="M247" s="10"/>
      <c r="N247" s="10"/>
      <c r="O247" s="10"/>
      <c r="P247" s="10"/>
      <c r="Q247" s="10"/>
      <c r="R247" s="9"/>
      <c r="S247" s="9"/>
    </row>
    <row r="248" spans="2:19" x14ac:dyDescent="0.2">
      <c r="B248" s="9"/>
      <c r="C248" s="10"/>
      <c r="D248" s="10"/>
      <c r="E248" s="10"/>
      <c r="F248" s="9"/>
      <c r="G248" s="10"/>
      <c r="H248" s="10"/>
      <c r="I248" s="10"/>
      <c r="J248" s="10"/>
      <c r="K248" s="10"/>
      <c r="L248" s="10"/>
      <c r="M248" s="10"/>
      <c r="N248" s="10"/>
      <c r="O248" s="10"/>
      <c r="P248" s="10"/>
      <c r="Q248" s="10"/>
      <c r="R248" s="9"/>
      <c r="S248" s="9"/>
    </row>
    <row r="249" spans="2:19" x14ac:dyDescent="0.2">
      <c r="B249" s="9"/>
      <c r="C249" s="10"/>
      <c r="D249" s="10"/>
      <c r="E249" s="10"/>
      <c r="F249" s="9"/>
      <c r="G249" s="10"/>
      <c r="H249" s="10"/>
      <c r="I249" s="10"/>
      <c r="J249" s="10"/>
      <c r="K249" s="10"/>
      <c r="L249" s="10"/>
      <c r="M249" s="10"/>
      <c r="N249" s="10"/>
      <c r="O249" s="10"/>
      <c r="P249" s="10"/>
      <c r="Q249" s="10"/>
      <c r="R249" s="9"/>
      <c r="S249" s="9"/>
    </row>
    <row r="250" spans="2:19" x14ac:dyDescent="0.2">
      <c r="B250" s="9"/>
      <c r="C250" s="10"/>
      <c r="D250" s="10"/>
      <c r="E250" s="10"/>
      <c r="F250" s="9"/>
      <c r="G250" s="10"/>
      <c r="H250" s="10"/>
      <c r="I250" s="10"/>
      <c r="J250" s="10"/>
      <c r="K250" s="10"/>
      <c r="L250" s="10"/>
      <c r="M250" s="10"/>
      <c r="N250" s="10"/>
      <c r="O250" s="10"/>
      <c r="P250" s="10"/>
      <c r="Q250" s="10"/>
      <c r="R250" s="9"/>
      <c r="S250" s="9"/>
    </row>
    <row r="251" spans="2:19" x14ac:dyDescent="0.2">
      <c r="B251" s="9"/>
      <c r="C251" s="10"/>
      <c r="D251" s="10"/>
      <c r="E251" s="10"/>
      <c r="F251" s="9"/>
      <c r="G251" s="10"/>
      <c r="H251" s="10"/>
      <c r="I251" s="10"/>
      <c r="J251" s="10"/>
      <c r="K251" s="10"/>
      <c r="L251" s="10"/>
      <c r="M251" s="10"/>
      <c r="N251" s="10"/>
      <c r="O251" s="10"/>
      <c r="P251" s="10"/>
      <c r="Q251" s="10"/>
      <c r="R251" s="9"/>
      <c r="S251" s="9"/>
    </row>
    <row r="252" spans="2:19" x14ac:dyDescent="0.2">
      <c r="B252" s="9"/>
      <c r="C252" s="10"/>
      <c r="D252" s="10"/>
      <c r="E252" s="10"/>
      <c r="F252" s="9"/>
      <c r="G252" s="10"/>
      <c r="H252" s="10"/>
      <c r="I252" s="10"/>
      <c r="J252" s="10"/>
      <c r="K252" s="10"/>
      <c r="L252" s="10"/>
      <c r="M252" s="10"/>
      <c r="N252" s="10"/>
      <c r="O252" s="10"/>
      <c r="P252" s="10"/>
      <c r="Q252" s="10"/>
      <c r="R252" s="9"/>
      <c r="S252" s="9"/>
    </row>
    <row r="253" spans="2:19" x14ac:dyDescent="0.2">
      <c r="B253" s="9"/>
      <c r="C253" s="10"/>
      <c r="D253" s="10"/>
      <c r="E253" s="10"/>
      <c r="F253" s="9"/>
      <c r="G253" s="10"/>
      <c r="H253" s="10"/>
      <c r="I253" s="10"/>
      <c r="J253" s="10"/>
      <c r="K253" s="10"/>
      <c r="L253" s="10"/>
      <c r="M253" s="10"/>
      <c r="N253" s="10"/>
      <c r="O253" s="10"/>
      <c r="P253" s="10"/>
      <c r="Q253" s="10"/>
      <c r="R253" s="9"/>
      <c r="S253" s="9"/>
    </row>
    <row r="254" spans="2:19" x14ac:dyDescent="0.2">
      <c r="B254" s="9"/>
      <c r="C254" s="10"/>
      <c r="D254" s="10"/>
      <c r="E254" s="10"/>
      <c r="F254" s="9"/>
      <c r="G254" s="10"/>
      <c r="H254" s="10"/>
      <c r="I254" s="10"/>
      <c r="J254" s="10"/>
      <c r="K254" s="10"/>
      <c r="L254" s="10"/>
      <c r="M254" s="10"/>
      <c r="N254" s="10"/>
      <c r="O254" s="10"/>
      <c r="P254" s="10"/>
      <c r="Q254" s="10"/>
      <c r="R254" s="9"/>
      <c r="S254" s="9"/>
    </row>
    <row r="255" spans="2:19" x14ac:dyDescent="0.2">
      <c r="B255" s="9"/>
      <c r="C255" s="10"/>
      <c r="D255" s="10"/>
      <c r="E255" s="10"/>
      <c r="F255" s="9"/>
      <c r="G255" s="10"/>
      <c r="H255" s="10"/>
      <c r="I255" s="10"/>
      <c r="J255" s="10"/>
      <c r="K255" s="10"/>
      <c r="L255" s="10"/>
      <c r="M255" s="10"/>
      <c r="N255" s="10"/>
      <c r="O255" s="10"/>
      <c r="P255" s="10"/>
      <c r="Q255" s="10"/>
      <c r="R255" s="9"/>
      <c r="S255" s="9"/>
    </row>
    <row r="256" spans="2:19" x14ac:dyDescent="0.2">
      <c r="B256" s="9"/>
      <c r="C256" s="10"/>
      <c r="D256" s="10"/>
      <c r="E256" s="10"/>
      <c r="F256" s="9"/>
      <c r="G256" s="10"/>
      <c r="H256" s="10"/>
      <c r="I256" s="10"/>
      <c r="J256" s="10"/>
      <c r="K256" s="10"/>
      <c r="L256" s="10"/>
      <c r="M256" s="10"/>
      <c r="N256" s="10"/>
      <c r="O256" s="10"/>
      <c r="P256" s="10"/>
      <c r="Q256" s="10"/>
      <c r="R256" s="9"/>
      <c r="S256" s="9"/>
    </row>
    <row r="257" spans="2:19" x14ac:dyDescent="0.2">
      <c r="B257" s="9"/>
      <c r="C257" s="10"/>
      <c r="D257" s="10"/>
      <c r="E257" s="10"/>
      <c r="F257" s="9"/>
      <c r="G257" s="10"/>
      <c r="H257" s="10"/>
      <c r="I257" s="10"/>
      <c r="J257" s="10"/>
      <c r="K257" s="10"/>
      <c r="L257" s="10"/>
      <c r="M257" s="10"/>
      <c r="N257" s="10"/>
      <c r="O257" s="10"/>
      <c r="P257" s="10"/>
      <c r="Q257" s="10"/>
      <c r="R257" s="9"/>
      <c r="S257" s="9"/>
    </row>
    <row r="258" spans="2:19" x14ac:dyDescent="0.2">
      <c r="B258" s="9"/>
      <c r="C258" s="10"/>
      <c r="D258" s="10"/>
      <c r="E258" s="10"/>
      <c r="F258" s="9"/>
      <c r="G258" s="10"/>
      <c r="H258" s="10"/>
      <c r="I258" s="10"/>
      <c r="J258" s="10"/>
      <c r="K258" s="10"/>
      <c r="L258" s="10"/>
      <c r="M258" s="10"/>
      <c r="N258" s="10"/>
      <c r="O258" s="10"/>
      <c r="P258" s="10"/>
      <c r="Q258" s="10"/>
      <c r="R258" s="9"/>
      <c r="S258" s="9"/>
    </row>
    <row r="259" spans="2:19" x14ac:dyDescent="0.2">
      <c r="B259" s="9"/>
      <c r="C259" s="10"/>
      <c r="D259" s="10"/>
      <c r="E259" s="10"/>
      <c r="F259" s="9"/>
      <c r="G259" s="10"/>
      <c r="H259" s="10"/>
      <c r="I259" s="10"/>
      <c r="J259" s="10"/>
      <c r="K259" s="10"/>
      <c r="L259" s="10"/>
      <c r="M259" s="10"/>
      <c r="N259" s="10"/>
      <c r="O259" s="10"/>
      <c r="P259" s="10"/>
      <c r="Q259" s="10"/>
      <c r="R259" s="9"/>
      <c r="S259" s="9"/>
    </row>
    <row r="260" spans="2:19" x14ac:dyDescent="0.2">
      <c r="B260" s="9"/>
      <c r="C260" s="10"/>
      <c r="D260" s="10"/>
      <c r="E260" s="10"/>
      <c r="F260" s="9"/>
      <c r="G260" s="10"/>
      <c r="H260" s="10"/>
      <c r="I260" s="10"/>
      <c r="J260" s="10"/>
      <c r="K260" s="10"/>
      <c r="L260" s="10"/>
      <c r="M260" s="10"/>
      <c r="N260" s="10"/>
      <c r="O260" s="10"/>
      <c r="P260" s="10"/>
      <c r="Q260" s="10"/>
      <c r="R260" s="9"/>
      <c r="S260" s="9"/>
    </row>
    <row r="261" spans="2:19" x14ac:dyDescent="0.2">
      <c r="B261" s="9"/>
      <c r="C261" s="10"/>
      <c r="D261" s="10"/>
      <c r="E261" s="10"/>
      <c r="F261" s="9"/>
      <c r="G261" s="10"/>
      <c r="H261" s="10"/>
      <c r="I261" s="10"/>
      <c r="J261" s="10"/>
      <c r="K261" s="10"/>
      <c r="L261" s="10"/>
      <c r="M261" s="10"/>
      <c r="N261" s="10"/>
      <c r="O261" s="10"/>
      <c r="P261" s="10"/>
      <c r="Q261" s="10"/>
      <c r="R261" s="9"/>
      <c r="S261" s="9"/>
    </row>
    <row r="262" spans="2:19" x14ac:dyDescent="0.2">
      <c r="B262" s="9"/>
      <c r="C262" s="10"/>
      <c r="D262" s="10"/>
      <c r="E262" s="10"/>
      <c r="F262" s="9"/>
      <c r="G262" s="10"/>
      <c r="H262" s="10"/>
      <c r="I262" s="10"/>
      <c r="J262" s="10"/>
      <c r="K262" s="10"/>
      <c r="L262" s="10"/>
      <c r="M262" s="10"/>
      <c r="N262" s="10"/>
      <c r="O262" s="10"/>
      <c r="P262" s="10"/>
      <c r="Q262" s="10"/>
      <c r="R262" s="9"/>
      <c r="S262" s="9"/>
    </row>
    <row r="263" spans="2:19" x14ac:dyDescent="0.2">
      <c r="B263" s="9"/>
      <c r="C263" s="10"/>
      <c r="D263" s="10"/>
      <c r="E263" s="10"/>
      <c r="F263" s="9"/>
      <c r="G263" s="10"/>
      <c r="H263" s="10"/>
      <c r="I263" s="10"/>
      <c r="J263" s="10"/>
      <c r="K263" s="10"/>
      <c r="L263" s="10"/>
      <c r="M263" s="10"/>
      <c r="N263" s="10"/>
      <c r="O263" s="10"/>
      <c r="P263" s="10"/>
      <c r="Q263" s="10"/>
      <c r="R263" s="9"/>
      <c r="S263" s="9"/>
    </row>
    <row r="264" spans="2:19" x14ac:dyDescent="0.2">
      <c r="B264" s="9"/>
      <c r="C264" s="10"/>
      <c r="D264" s="10"/>
      <c r="E264" s="10"/>
      <c r="F264" s="9"/>
      <c r="G264" s="10"/>
      <c r="H264" s="10"/>
      <c r="I264" s="10"/>
      <c r="J264" s="10"/>
      <c r="K264" s="10"/>
      <c r="L264" s="10"/>
      <c r="M264" s="10"/>
      <c r="N264" s="10"/>
      <c r="O264" s="10"/>
      <c r="P264" s="10"/>
      <c r="Q264" s="10"/>
      <c r="R264" s="9"/>
      <c r="S264" s="9"/>
    </row>
    <row r="265" spans="2:19" x14ac:dyDescent="0.2">
      <c r="B265" s="9"/>
      <c r="C265" s="10"/>
      <c r="D265" s="10"/>
      <c r="E265" s="10"/>
      <c r="F265" s="9"/>
      <c r="G265" s="10"/>
      <c r="H265" s="10"/>
      <c r="I265" s="10"/>
      <c r="J265" s="10"/>
      <c r="K265" s="10"/>
      <c r="L265" s="10"/>
      <c r="M265" s="10"/>
      <c r="N265" s="10"/>
      <c r="O265" s="10"/>
      <c r="P265" s="10"/>
      <c r="Q265" s="10"/>
      <c r="R265" s="9"/>
      <c r="S265" s="9"/>
    </row>
    <row r="266" spans="2:19" x14ac:dyDescent="0.2">
      <c r="B266" s="9"/>
      <c r="C266" s="10"/>
      <c r="D266" s="10"/>
      <c r="E266" s="10"/>
      <c r="F266" s="9"/>
      <c r="G266" s="10"/>
      <c r="H266" s="10"/>
      <c r="I266" s="10"/>
      <c r="J266" s="10"/>
      <c r="K266" s="10"/>
      <c r="L266" s="10"/>
      <c r="M266" s="10"/>
      <c r="N266" s="10"/>
      <c r="O266" s="10"/>
      <c r="P266" s="10"/>
      <c r="Q266" s="10"/>
      <c r="R266" s="9"/>
      <c r="S266" s="9"/>
    </row>
    <row r="267" spans="2:19" x14ac:dyDescent="0.2">
      <c r="B267" s="9"/>
      <c r="C267" s="10"/>
      <c r="D267" s="10"/>
      <c r="E267" s="10"/>
      <c r="F267" s="9"/>
      <c r="G267" s="10"/>
      <c r="H267" s="10"/>
      <c r="I267" s="10"/>
      <c r="J267" s="10"/>
      <c r="K267" s="10"/>
      <c r="L267" s="10"/>
      <c r="M267" s="10"/>
      <c r="N267" s="10"/>
      <c r="O267" s="10"/>
      <c r="P267" s="10"/>
      <c r="Q267" s="10"/>
      <c r="R267" s="9"/>
      <c r="S267" s="9"/>
    </row>
    <row r="268" spans="2:19" x14ac:dyDescent="0.2">
      <c r="B268" s="9"/>
      <c r="C268" s="10"/>
      <c r="D268" s="10"/>
      <c r="E268" s="10"/>
      <c r="F268" s="9"/>
      <c r="G268" s="10"/>
      <c r="H268" s="10"/>
      <c r="I268" s="10"/>
      <c r="J268" s="10"/>
      <c r="K268" s="10"/>
      <c r="L268" s="10"/>
      <c r="M268" s="10"/>
      <c r="N268" s="10"/>
      <c r="O268" s="10"/>
      <c r="P268" s="10"/>
      <c r="Q268" s="10"/>
      <c r="R268" s="9"/>
      <c r="S268" s="9"/>
    </row>
    <row r="269" spans="2:19" x14ac:dyDescent="0.2">
      <c r="B269" s="9"/>
      <c r="C269" s="10"/>
      <c r="D269" s="10"/>
      <c r="E269" s="10"/>
      <c r="F269" s="9"/>
      <c r="G269" s="10"/>
      <c r="H269" s="10"/>
      <c r="I269" s="10"/>
      <c r="J269" s="10"/>
      <c r="K269" s="10"/>
      <c r="L269" s="10"/>
      <c r="M269" s="10"/>
      <c r="N269" s="10"/>
      <c r="O269" s="10"/>
      <c r="P269" s="10"/>
      <c r="Q269" s="10"/>
      <c r="R269" s="9"/>
      <c r="S269" s="9"/>
    </row>
    <row r="270" spans="2:19" x14ac:dyDescent="0.2">
      <c r="B270" s="9"/>
      <c r="C270" s="10"/>
      <c r="D270" s="10"/>
      <c r="E270" s="10"/>
      <c r="F270" s="9"/>
      <c r="G270" s="10"/>
      <c r="H270" s="10"/>
      <c r="I270" s="10"/>
      <c r="J270" s="10"/>
      <c r="K270" s="10"/>
      <c r="L270" s="10"/>
      <c r="M270" s="10"/>
      <c r="N270" s="10"/>
      <c r="O270" s="10"/>
      <c r="P270" s="10"/>
      <c r="Q270" s="10"/>
      <c r="R270" s="9"/>
      <c r="S270" s="9"/>
    </row>
    <row r="271" spans="2:19" x14ac:dyDescent="0.2">
      <c r="B271" s="9"/>
      <c r="C271" s="10"/>
      <c r="D271" s="10"/>
      <c r="E271" s="10"/>
      <c r="F271" s="9"/>
      <c r="G271" s="10"/>
      <c r="H271" s="10"/>
      <c r="I271" s="10"/>
      <c r="J271" s="10"/>
      <c r="K271" s="10"/>
      <c r="L271" s="10"/>
      <c r="M271" s="10"/>
      <c r="N271" s="10"/>
      <c r="O271" s="10"/>
      <c r="P271" s="10"/>
      <c r="Q271" s="10"/>
      <c r="R271" s="9"/>
      <c r="S271" s="9"/>
    </row>
    <row r="272" spans="2:19" x14ac:dyDescent="0.2">
      <c r="B272" s="9"/>
      <c r="C272" s="10"/>
      <c r="D272" s="10"/>
      <c r="E272" s="10"/>
      <c r="F272" s="9"/>
      <c r="G272" s="10"/>
      <c r="H272" s="10"/>
      <c r="I272" s="10"/>
      <c r="J272" s="10"/>
      <c r="K272" s="10"/>
      <c r="L272" s="10"/>
      <c r="M272" s="10"/>
      <c r="N272" s="10"/>
      <c r="O272" s="10"/>
      <c r="P272" s="10"/>
      <c r="Q272" s="10"/>
      <c r="R272" s="9"/>
      <c r="S272" s="9"/>
    </row>
    <row r="273" spans="2:19" x14ac:dyDescent="0.2">
      <c r="B273" s="9"/>
      <c r="C273" s="10"/>
      <c r="D273" s="10"/>
      <c r="E273" s="10"/>
      <c r="F273" s="9"/>
      <c r="G273" s="10"/>
      <c r="H273" s="10"/>
      <c r="I273" s="10"/>
      <c r="J273" s="10"/>
      <c r="K273" s="10"/>
      <c r="L273" s="10"/>
      <c r="M273" s="10"/>
      <c r="N273" s="10"/>
      <c r="O273" s="10"/>
      <c r="P273" s="10"/>
      <c r="Q273" s="10"/>
      <c r="R273" s="9"/>
      <c r="S273" s="9"/>
    </row>
    <row r="274" spans="2:19" x14ac:dyDescent="0.2">
      <c r="B274" s="9"/>
      <c r="C274" s="10"/>
      <c r="D274" s="10"/>
      <c r="E274" s="10"/>
      <c r="F274" s="9"/>
      <c r="G274" s="10"/>
      <c r="H274" s="10"/>
      <c r="I274" s="10"/>
      <c r="J274" s="10"/>
      <c r="K274" s="10"/>
      <c r="L274" s="10"/>
      <c r="M274" s="10"/>
      <c r="N274" s="10"/>
      <c r="O274" s="10"/>
      <c r="P274" s="10"/>
      <c r="Q274" s="10"/>
      <c r="R274" s="9"/>
      <c r="S274" s="9"/>
    </row>
    <row r="275" spans="2:19" x14ac:dyDescent="0.2">
      <c r="B275" s="9"/>
      <c r="C275" s="10"/>
      <c r="D275" s="10"/>
      <c r="E275" s="10"/>
      <c r="F275" s="9"/>
      <c r="G275" s="10"/>
      <c r="H275" s="10"/>
      <c r="I275" s="10"/>
      <c r="J275" s="10"/>
      <c r="K275" s="10"/>
      <c r="L275" s="10"/>
      <c r="M275" s="10"/>
      <c r="N275" s="10"/>
      <c r="O275" s="10"/>
      <c r="P275" s="10"/>
      <c r="Q275" s="10"/>
      <c r="R275" s="9"/>
      <c r="S275" s="9"/>
    </row>
    <row r="276" spans="2:19" x14ac:dyDescent="0.2">
      <c r="B276" s="9"/>
      <c r="C276" s="10"/>
      <c r="D276" s="10"/>
      <c r="E276" s="10"/>
      <c r="F276" s="9"/>
      <c r="G276" s="10"/>
      <c r="H276" s="10"/>
      <c r="I276" s="10"/>
      <c r="J276" s="10"/>
      <c r="K276" s="10"/>
      <c r="L276" s="10"/>
      <c r="M276" s="10"/>
      <c r="N276" s="10"/>
      <c r="O276" s="10"/>
      <c r="P276" s="10"/>
      <c r="Q276" s="10"/>
      <c r="R276" s="9"/>
      <c r="S276" s="9"/>
    </row>
    <row r="277" spans="2:19" x14ac:dyDescent="0.2">
      <c r="B277" s="9"/>
      <c r="C277" s="10"/>
      <c r="D277" s="10"/>
      <c r="E277" s="10"/>
      <c r="F277" s="9"/>
      <c r="G277" s="10"/>
      <c r="H277" s="10"/>
      <c r="I277" s="10"/>
      <c r="J277" s="10"/>
      <c r="K277" s="10"/>
      <c r="L277" s="10"/>
      <c r="M277" s="10"/>
      <c r="N277" s="10"/>
      <c r="O277" s="10"/>
      <c r="P277" s="10"/>
      <c r="Q277" s="10"/>
      <c r="R277" s="9"/>
      <c r="S277" s="9"/>
    </row>
    <row r="278" spans="2:19" x14ac:dyDescent="0.2">
      <c r="B278" s="9"/>
      <c r="C278" s="10"/>
      <c r="D278" s="10"/>
      <c r="E278" s="10"/>
      <c r="F278" s="9"/>
      <c r="G278" s="10"/>
      <c r="H278" s="10"/>
      <c r="I278" s="10"/>
      <c r="J278" s="10"/>
      <c r="K278" s="10"/>
      <c r="L278" s="10"/>
      <c r="M278" s="10"/>
      <c r="N278" s="10"/>
      <c r="O278" s="10"/>
      <c r="P278" s="10"/>
      <c r="Q278" s="10"/>
      <c r="R278" s="9"/>
      <c r="S278" s="9"/>
    </row>
    <row r="279" spans="2:19" x14ac:dyDescent="0.2">
      <c r="B279" s="9"/>
      <c r="C279" s="10"/>
      <c r="D279" s="10"/>
      <c r="E279" s="10"/>
      <c r="F279" s="9"/>
      <c r="G279" s="10"/>
      <c r="H279" s="10"/>
      <c r="I279" s="10"/>
      <c r="J279" s="10"/>
      <c r="K279" s="10"/>
      <c r="L279" s="10"/>
      <c r="M279" s="10"/>
      <c r="N279" s="10"/>
      <c r="O279" s="10"/>
      <c r="P279" s="10"/>
      <c r="Q279" s="10"/>
      <c r="R279" s="9"/>
      <c r="S279" s="9"/>
    </row>
    <row r="280" spans="2:19" x14ac:dyDescent="0.2">
      <c r="B280" s="9"/>
      <c r="C280" s="10"/>
      <c r="D280" s="10"/>
      <c r="E280" s="10"/>
      <c r="F280" s="9"/>
      <c r="G280" s="10"/>
      <c r="H280" s="10"/>
      <c r="I280" s="10"/>
      <c r="J280" s="10"/>
      <c r="K280" s="10"/>
      <c r="L280" s="10"/>
      <c r="M280" s="10"/>
      <c r="N280" s="10"/>
      <c r="O280" s="10"/>
      <c r="P280" s="10"/>
      <c r="Q280" s="10"/>
      <c r="R280" s="9"/>
      <c r="S280" s="9"/>
    </row>
    <row r="281" spans="2:19" x14ac:dyDescent="0.2">
      <c r="B281" s="9"/>
      <c r="C281" s="10"/>
      <c r="D281" s="10"/>
      <c r="E281" s="10"/>
      <c r="F281" s="9"/>
      <c r="G281" s="10"/>
      <c r="H281" s="10"/>
      <c r="I281" s="10"/>
      <c r="J281" s="10"/>
      <c r="K281" s="10"/>
      <c r="L281" s="10"/>
      <c r="M281" s="10"/>
      <c r="N281" s="10"/>
      <c r="O281" s="10"/>
      <c r="P281" s="10"/>
      <c r="Q281" s="10"/>
      <c r="R281" s="9"/>
      <c r="S281" s="9"/>
    </row>
    <row r="282" spans="2:19" x14ac:dyDescent="0.2">
      <c r="B282" s="9"/>
      <c r="C282" s="10"/>
      <c r="D282" s="10"/>
      <c r="E282" s="10"/>
      <c r="F282" s="9"/>
      <c r="G282" s="10"/>
      <c r="H282" s="10"/>
      <c r="I282" s="10"/>
      <c r="J282" s="10"/>
      <c r="K282" s="10"/>
      <c r="L282" s="10"/>
      <c r="M282" s="10"/>
      <c r="N282" s="10"/>
      <c r="O282" s="10"/>
      <c r="P282" s="10"/>
      <c r="Q282" s="10"/>
      <c r="R282" s="9"/>
      <c r="S282" s="9"/>
    </row>
    <row r="283" spans="2:19" x14ac:dyDescent="0.2">
      <c r="B283" s="9"/>
      <c r="C283" s="10"/>
      <c r="D283" s="10"/>
      <c r="E283" s="10"/>
      <c r="F283" s="9"/>
      <c r="G283" s="10"/>
      <c r="H283" s="10"/>
      <c r="I283" s="10"/>
      <c r="J283" s="10"/>
      <c r="K283" s="10"/>
      <c r="L283" s="10"/>
      <c r="M283" s="10"/>
      <c r="N283" s="10"/>
      <c r="O283" s="10"/>
      <c r="P283" s="10"/>
      <c r="Q283" s="10"/>
      <c r="R283" s="9"/>
      <c r="S283" s="9"/>
    </row>
    <row r="284" spans="2:19" x14ac:dyDescent="0.2">
      <c r="B284" s="9"/>
      <c r="C284" s="10"/>
      <c r="D284" s="10"/>
      <c r="E284" s="10"/>
      <c r="F284" s="9"/>
      <c r="G284" s="10"/>
      <c r="H284" s="10"/>
      <c r="I284" s="10"/>
      <c r="J284" s="10"/>
      <c r="K284" s="10"/>
      <c r="L284" s="10"/>
      <c r="M284" s="10"/>
      <c r="N284" s="10"/>
      <c r="O284" s="10"/>
      <c r="P284" s="10"/>
      <c r="Q284" s="10"/>
      <c r="R284" s="9"/>
      <c r="S284" s="9"/>
    </row>
    <row r="285" spans="2:19" x14ac:dyDescent="0.2">
      <c r="B285" s="9"/>
      <c r="C285" s="10"/>
      <c r="D285" s="10"/>
      <c r="E285" s="10"/>
      <c r="F285" s="9"/>
      <c r="G285" s="10"/>
      <c r="H285" s="10"/>
      <c r="I285" s="10"/>
      <c r="J285" s="10"/>
      <c r="K285" s="10"/>
      <c r="L285" s="10"/>
      <c r="M285" s="10"/>
      <c r="N285" s="10"/>
      <c r="O285" s="10"/>
      <c r="P285" s="10"/>
      <c r="Q285" s="10"/>
      <c r="R285" s="9"/>
      <c r="S285" s="9"/>
    </row>
    <row r="286" spans="2:19" x14ac:dyDescent="0.2">
      <c r="B286" s="9"/>
      <c r="C286" s="10"/>
      <c r="D286" s="10"/>
      <c r="E286" s="10"/>
      <c r="F286" s="9"/>
      <c r="G286" s="10"/>
      <c r="H286" s="10"/>
      <c r="I286" s="10"/>
      <c r="J286" s="10"/>
      <c r="K286" s="10"/>
      <c r="L286" s="10"/>
      <c r="M286" s="10"/>
      <c r="N286" s="10"/>
      <c r="O286" s="10"/>
      <c r="P286" s="10"/>
      <c r="Q286" s="10"/>
      <c r="R286" s="9"/>
      <c r="S286" s="9"/>
    </row>
    <row r="287" spans="2:19" x14ac:dyDescent="0.2">
      <c r="B287" s="9"/>
      <c r="C287" s="10"/>
      <c r="D287" s="10"/>
      <c r="E287" s="10"/>
      <c r="F287" s="9"/>
      <c r="G287" s="10"/>
      <c r="H287" s="10"/>
      <c r="I287" s="10"/>
      <c r="J287" s="10"/>
      <c r="K287" s="10"/>
      <c r="L287" s="10"/>
      <c r="M287" s="10"/>
      <c r="N287" s="10"/>
      <c r="O287" s="10"/>
      <c r="P287" s="10"/>
      <c r="Q287" s="10"/>
      <c r="R287" s="9"/>
      <c r="S287" s="9"/>
    </row>
    <row r="288" spans="2:19" x14ac:dyDescent="0.2">
      <c r="B288" s="9"/>
      <c r="C288" s="10"/>
      <c r="D288" s="10"/>
      <c r="E288" s="10"/>
      <c r="F288" s="9"/>
      <c r="G288" s="10"/>
      <c r="H288" s="10"/>
      <c r="I288" s="10"/>
      <c r="J288" s="10"/>
      <c r="K288" s="10"/>
      <c r="L288" s="10"/>
      <c r="M288" s="10"/>
      <c r="N288" s="10"/>
      <c r="O288" s="10"/>
      <c r="P288" s="10"/>
      <c r="Q288" s="10"/>
      <c r="R288" s="9"/>
      <c r="S288" s="9"/>
    </row>
    <row r="289" spans="2:19" x14ac:dyDescent="0.2">
      <c r="B289" s="9"/>
      <c r="C289" s="10"/>
      <c r="D289" s="10"/>
      <c r="E289" s="10"/>
      <c r="F289" s="9"/>
      <c r="G289" s="10"/>
      <c r="H289" s="10"/>
      <c r="I289" s="10"/>
      <c r="J289" s="10"/>
      <c r="K289" s="10"/>
      <c r="L289" s="10"/>
      <c r="M289" s="10"/>
      <c r="N289" s="10"/>
      <c r="O289" s="10"/>
      <c r="P289" s="10"/>
      <c r="Q289" s="10"/>
      <c r="R289" s="9"/>
      <c r="S289" s="9"/>
    </row>
    <row r="290" spans="2:19" x14ac:dyDescent="0.2">
      <c r="B290" s="9"/>
      <c r="C290" s="10"/>
      <c r="D290" s="10"/>
      <c r="E290" s="10"/>
      <c r="F290" s="9"/>
      <c r="G290" s="10"/>
      <c r="H290" s="10"/>
      <c r="I290" s="10"/>
      <c r="J290" s="10"/>
      <c r="K290" s="10"/>
      <c r="L290" s="10"/>
      <c r="M290" s="10"/>
      <c r="N290" s="10"/>
      <c r="O290" s="10"/>
      <c r="P290" s="10"/>
      <c r="Q290" s="10"/>
      <c r="R290" s="9"/>
      <c r="S290" s="9"/>
    </row>
    <row r="291" spans="2:19" x14ac:dyDescent="0.2">
      <c r="B291" s="9"/>
      <c r="C291" s="10"/>
      <c r="D291" s="10"/>
      <c r="E291" s="10"/>
      <c r="F291" s="9"/>
      <c r="G291" s="10"/>
      <c r="H291" s="10"/>
      <c r="I291" s="10"/>
      <c r="J291" s="10"/>
      <c r="K291" s="10"/>
      <c r="L291" s="10"/>
      <c r="M291" s="10"/>
      <c r="N291" s="10"/>
      <c r="O291" s="10"/>
      <c r="P291" s="10"/>
      <c r="Q291" s="10"/>
      <c r="R291" s="9"/>
      <c r="S291" s="9"/>
    </row>
    <row r="292" spans="2:19" x14ac:dyDescent="0.2">
      <c r="B292" s="9"/>
      <c r="C292" s="10"/>
      <c r="D292" s="10"/>
      <c r="E292" s="10"/>
      <c r="F292" s="9"/>
      <c r="G292" s="10"/>
      <c r="H292" s="10"/>
      <c r="I292" s="10"/>
      <c r="J292" s="10"/>
      <c r="K292" s="10"/>
      <c r="L292" s="10"/>
      <c r="M292" s="10"/>
      <c r="N292" s="10"/>
      <c r="O292" s="10"/>
      <c r="P292" s="10"/>
      <c r="Q292" s="10"/>
      <c r="R292" s="9"/>
      <c r="S292" s="9"/>
    </row>
    <row r="293" spans="2:19" x14ac:dyDescent="0.2">
      <c r="B293" s="9"/>
      <c r="C293" s="10"/>
      <c r="D293" s="10"/>
      <c r="E293" s="10"/>
      <c r="F293" s="9"/>
      <c r="G293" s="10"/>
      <c r="H293" s="10"/>
      <c r="I293" s="10"/>
      <c r="J293" s="10"/>
      <c r="K293" s="10"/>
      <c r="L293" s="10"/>
      <c r="M293" s="10"/>
      <c r="N293" s="10"/>
      <c r="O293" s="10"/>
      <c r="P293" s="10"/>
      <c r="Q293" s="10"/>
      <c r="R293" s="9"/>
      <c r="S293" s="9"/>
    </row>
    <row r="294" spans="2:19" x14ac:dyDescent="0.2">
      <c r="B294" s="9"/>
      <c r="C294" s="10"/>
      <c r="D294" s="10"/>
      <c r="E294" s="10"/>
      <c r="F294" s="9"/>
      <c r="G294" s="10"/>
      <c r="H294" s="10"/>
      <c r="I294" s="10"/>
      <c r="J294" s="10"/>
      <c r="K294" s="10"/>
      <c r="L294" s="10"/>
      <c r="M294" s="10"/>
      <c r="N294" s="10"/>
      <c r="O294" s="10"/>
      <c r="P294" s="10"/>
      <c r="Q294" s="10"/>
      <c r="R294" s="9"/>
      <c r="S294" s="9"/>
    </row>
    <row r="295" spans="2:19" x14ac:dyDescent="0.2">
      <c r="B295" s="9"/>
      <c r="C295" s="10"/>
      <c r="D295" s="10"/>
      <c r="E295" s="10"/>
      <c r="F295" s="9"/>
      <c r="G295" s="10"/>
      <c r="H295" s="10"/>
      <c r="I295" s="10"/>
      <c r="J295" s="10"/>
      <c r="K295" s="10"/>
      <c r="L295" s="10"/>
      <c r="M295" s="10"/>
      <c r="N295" s="10"/>
      <c r="O295" s="10"/>
      <c r="P295" s="10"/>
      <c r="Q295" s="10"/>
      <c r="R295" s="9"/>
      <c r="S295" s="9"/>
    </row>
    <row r="296" spans="2:19" x14ac:dyDescent="0.2">
      <c r="B296" s="9"/>
      <c r="C296" s="10"/>
      <c r="D296" s="10"/>
      <c r="E296" s="10"/>
      <c r="F296" s="9"/>
      <c r="G296" s="10"/>
      <c r="H296" s="10"/>
      <c r="I296" s="10"/>
      <c r="J296" s="10"/>
      <c r="K296" s="10"/>
      <c r="L296" s="10"/>
      <c r="M296" s="10"/>
      <c r="N296" s="10"/>
      <c r="O296" s="10"/>
      <c r="P296" s="10"/>
      <c r="Q296" s="10"/>
      <c r="R296" s="9"/>
      <c r="S296" s="9"/>
    </row>
    <row r="297" spans="2:19" x14ac:dyDescent="0.2">
      <c r="B297" s="9"/>
      <c r="C297" s="10"/>
      <c r="D297" s="10"/>
      <c r="E297" s="10"/>
      <c r="F297" s="9"/>
      <c r="G297" s="10"/>
      <c r="H297" s="10"/>
      <c r="I297" s="10"/>
      <c r="J297" s="10"/>
      <c r="K297" s="10"/>
      <c r="L297" s="10"/>
      <c r="M297" s="10"/>
      <c r="N297" s="10"/>
      <c r="O297" s="10"/>
      <c r="P297" s="10"/>
      <c r="Q297" s="10"/>
      <c r="R297" s="9"/>
      <c r="S297" s="9"/>
    </row>
    <row r="298" spans="2:19" x14ac:dyDescent="0.2">
      <c r="B298" s="9"/>
      <c r="C298" s="10"/>
      <c r="D298" s="10"/>
      <c r="E298" s="10"/>
      <c r="F298" s="9"/>
      <c r="G298" s="10"/>
      <c r="H298" s="10"/>
      <c r="I298" s="10"/>
      <c r="J298" s="10"/>
      <c r="K298" s="10"/>
      <c r="L298" s="10"/>
      <c r="M298" s="10"/>
      <c r="N298" s="10"/>
      <c r="O298" s="10"/>
      <c r="P298" s="10"/>
      <c r="Q298" s="10"/>
      <c r="R298" s="9"/>
      <c r="S298" s="9"/>
    </row>
    <row r="299" spans="2:19" x14ac:dyDescent="0.2">
      <c r="B299" s="9"/>
      <c r="C299" s="10"/>
      <c r="D299" s="10"/>
      <c r="E299" s="10"/>
      <c r="F299" s="9"/>
      <c r="G299" s="10"/>
      <c r="H299" s="10"/>
      <c r="I299" s="10"/>
      <c r="J299" s="10"/>
      <c r="K299" s="10"/>
      <c r="L299" s="10"/>
      <c r="M299" s="10"/>
      <c r="N299" s="10"/>
      <c r="O299" s="10"/>
      <c r="P299" s="10"/>
      <c r="Q299" s="10"/>
      <c r="R299" s="9"/>
      <c r="S299" s="9"/>
    </row>
    <row r="300" spans="2:19" x14ac:dyDescent="0.2">
      <c r="B300" s="9"/>
      <c r="C300" s="10"/>
      <c r="D300" s="10"/>
      <c r="E300" s="10"/>
      <c r="F300" s="9"/>
      <c r="G300" s="10"/>
      <c r="H300" s="10"/>
      <c r="I300" s="10"/>
      <c r="J300" s="10"/>
      <c r="K300" s="10"/>
      <c r="L300" s="10"/>
      <c r="M300" s="10"/>
      <c r="N300" s="10"/>
      <c r="O300" s="10"/>
      <c r="P300" s="10"/>
      <c r="Q300" s="10"/>
      <c r="R300" s="9"/>
      <c r="S300" s="9"/>
    </row>
    <row r="301" spans="2:19" x14ac:dyDescent="0.2">
      <c r="B301" s="9"/>
      <c r="C301" s="10"/>
      <c r="D301" s="10"/>
      <c r="E301" s="10"/>
      <c r="F301" s="9"/>
      <c r="G301" s="10"/>
      <c r="H301" s="10"/>
      <c r="I301" s="10"/>
      <c r="J301" s="10"/>
      <c r="K301" s="10"/>
      <c r="L301" s="10"/>
      <c r="M301" s="10"/>
      <c r="N301" s="10"/>
      <c r="O301" s="10"/>
      <c r="P301" s="10"/>
      <c r="Q301" s="10"/>
      <c r="R301" s="9"/>
      <c r="S301" s="9"/>
    </row>
    <row r="302" spans="2:19" x14ac:dyDescent="0.2">
      <c r="B302" s="9"/>
      <c r="C302" s="10"/>
      <c r="D302" s="10"/>
      <c r="E302" s="10"/>
      <c r="F302" s="9"/>
      <c r="G302" s="10"/>
      <c r="H302" s="10"/>
      <c r="I302" s="10"/>
      <c r="J302" s="10"/>
      <c r="K302" s="10"/>
      <c r="L302" s="10"/>
      <c r="M302" s="10"/>
      <c r="N302" s="10"/>
      <c r="O302" s="10"/>
      <c r="P302" s="10"/>
      <c r="Q302" s="10"/>
      <c r="R302" s="9"/>
      <c r="S302" s="9"/>
    </row>
    <row r="303" spans="2:19" x14ac:dyDescent="0.2">
      <c r="B303" s="9"/>
      <c r="C303" s="10"/>
      <c r="D303" s="10"/>
      <c r="E303" s="10"/>
      <c r="F303" s="9"/>
      <c r="G303" s="10"/>
      <c r="H303" s="10"/>
      <c r="I303" s="10"/>
      <c r="J303" s="10"/>
      <c r="K303" s="10"/>
      <c r="L303" s="10"/>
      <c r="M303" s="10"/>
      <c r="N303" s="10"/>
      <c r="O303" s="10"/>
      <c r="P303" s="10"/>
      <c r="Q303" s="10"/>
      <c r="R303" s="9"/>
      <c r="S303" s="9"/>
    </row>
    <row r="304" spans="2:19" x14ac:dyDescent="0.2">
      <c r="B304" s="9"/>
      <c r="C304" s="10"/>
      <c r="D304" s="10"/>
      <c r="E304" s="10"/>
      <c r="F304" s="9"/>
      <c r="G304" s="10"/>
      <c r="H304" s="10"/>
      <c r="I304" s="10"/>
      <c r="J304" s="10"/>
      <c r="K304" s="10"/>
      <c r="L304" s="10"/>
      <c r="M304" s="10"/>
      <c r="N304" s="10"/>
      <c r="O304" s="10"/>
      <c r="P304" s="10"/>
      <c r="Q304" s="10"/>
      <c r="R304" s="9"/>
      <c r="S304" s="9"/>
    </row>
    <row r="305" spans="2:19" x14ac:dyDescent="0.2">
      <c r="B305" s="9"/>
      <c r="C305" s="10"/>
      <c r="D305" s="10"/>
      <c r="E305" s="10"/>
      <c r="F305" s="9"/>
      <c r="G305" s="10"/>
      <c r="H305" s="10"/>
      <c r="I305" s="10"/>
      <c r="J305" s="10"/>
      <c r="K305" s="10"/>
      <c r="L305" s="10"/>
      <c r="M305" s="10"/>
      <c r="N305" s="10"/>
      <c r="O305" s="10"/>
      <c r="P305" s="10"/>
      <c r="Q305" s="10"/>
      <c r="R305" s="9"/>
      <c r="S305" s="9"/>
    </row>
    <row r="306" spans="2:19" x14ac:dyDescent="0.2">
      <c r="B306" s="9"/>
      <c r="C306" s="10"/>
      <c r="D306" s="10"/>
      <c r="E306" s="10"/>
      <c r="F306" s="9"/>
      <c r="G306" s="10"/>
      <c r="H306" s="10"/>
      <c r="I306" s="10"/>
      <c r="J306" s="10"/>
      <c r="K306" s="10"/>
      <c r="L306" s="10"/>
      <c r="M306" s="10"/>
      <c r="N306" s="10"/>
      <c r="O306" s="10"/>
      <c r="P306" s="10"/>
      <c r="Q306" s="10"/>
      <c r="R306" s="9"/>
      <c r="S306" s="9"/>
    </row>
    <row r="307" spans="2:19" x14ac:dyDescent="0.2">
      <c r="B307" s="9"/>
      <c r="C307" s="10"/>
      <c r="D307" s="10"/>
      <c r="E307" s="10"/>
      <c r="F307" s="9"/>
      <c r="G307" s="10"/>
      <c r="H307" s="10"/>
      <c r="I307" s="10"/>
      <c r="J307" s="10"/>
      <c r="K307" s="10"/>
      <c r="L307" s="10"/>
      <c r="M307" s="10"/>
      <c r="N307" s="10"/>
      <c r="O307" s="10"/>
      <c r="P307" s="10"/>
      <c r="Q307" s="10"/>
      <c r="R307" s="9"/>
      <c r="S307" s="9"/>
    </row>
    <row r="308" spans="2:19" x14ac:dyDescent="0.2">
      <c r="B308" s="9"/>
      <c r="C308" s="10"/>
      <c r="D308" s="10"/>
      <c r="E308" s="10"/>
      <c r="F308" s="9"/>
      <c r="G308" s="10"/>
      <c r="H308" s="10"/>
      <c r="I308" s="10"/>
      <c r="J308" s="10"/>
      <c r="K308" s="10"/>
      <c r="L308" s="10"/>
      <c r="M308" s="10"/>
      <c r="N308" s="10"/>
      <c r="O308" s="10"/>
      <c r="P308" s="10"/>
      <c r="Q308" s="10"/>
      <c r="R308" s="9"/>
      <c r="S308" s="9"/>
    </row>
    <row r="309" spans="2:19" x14ac:dyDescent="0.2">
      <c r="B309" s="9"/>
      <c r="C309" s="10"/>
      <c r="D309" s="10"/>
      <c r="E309" s="10"/>
      <c r="F309" s="9"/>
      <c r="G309" s="10"/>
      <c r="H309" s="10"/>
      <c r="I309" s="10"/>
      <c r="J309" s="10"/>
      <c r="K309" s="10"/>
      <c r="L309" s="10"/>
      <c r="M309" s="10"/>
      <c r="N309" s="10"/>
      <c r="O309" s="10"/>
      <c r="P309" s="10"/>
      <c r="Q309" s="10"/>
      <c r="R309" s="9"/>
      <c r="S309" s="9"/>
    </row>
    <row r="310" spans="2:19" x14ac:dyDescent="0.2">
      <c r="B310" s="9"/>
      <c r="C310" s="10"/>
      <c r="D310" s="10"/>
      <c r="E310" s="10"/>
      <c r="F310" s="9"/>
      <c r="G310" s="10"/>
      <c r="H310" s="10"/>
      <c r="I310" s="10"/>
      <c r="J310" s="10"/>
      <c r="K310" s="10"/>
      <c r="L310" s="10"/>
      <c r="M310" s="10"/>
      <c r="N310" s="10"/>
      <c r="O310" s="10"/>
      <c r="P310" s="10"/>
      <c r="Q310" s="10"/>
      <c r="R310" s="9"/>
      <c r="S310" s="9"/>
    </row>
    <row r="311" spans="2:19" x14ac:dyDescent="0.2">
      <c r="B311" s="9"/>
      <c r="C311" s="10"/>
      <c r="D311" s="10"/>
      <c r="E311" s="10"/>
      <c r="F311" s="9"/>
      <c r="G311" s="10"/>
      <c r="H311" s="10"/>
      <c r="I311" s="10"/>
      <c r="J311" s="10"/>
      <c r="K311" s="10"/>
      <c r="L311" s="10"/>
      <c r="M311" s="10"/>
      <c r="N311" s="10"/>
      <c r="O311" s="10"/>
      <c r="P311" s="10"/>
      <c r="Q311" s="10"/>
      <c r="R311" s="9"/>
      <c r="S311" s="9"/>
    </row>
    <row r="312" spans="2:19" x14ac:dyDescent="0.2">
      <c r="B312" s="9"/>
      <c r="C312" s="10"/>
      <c r="D312" s="10"/>
      <c r="E312" s="10"/>
      <c r="F312" s="9"/>
      <c r="G312" s="10"/>
      <c r="H312" s="10"/>
      <c r="I312" s="10"/>
      <c r="J312" s="10"/>
      <c r="K312" s="10"/>
      <c r="L312" s="10"/>
      <c r="M312" s="10"/>
      <c r="N312" s="10"/>
      <c r="O312" s="10"/>
      <c r="P312" s="10"/>
      <c r="Q312" s="10"/>
      <c r="R312" s="9"/>
      <c r="S312" s="9"/>
    </row>
    <row r="313" spans="2:19" x14ac:dyDescent="0.2">
      <c r="B313" s="9"/>
      <c r="C313" s="10"/>
      <c r="D313" s="10"/>
      <c r="E313" s="10"/>
      <c r="F313" s="9"/>
      <c r="G313" s="10"/>
      <c r="H313" s="10"/>
      <c r="I313" s="10"/>
      <c r="J313" s="10"/>
      <c r="K313" s="10"/>
      <c r="L313" s="10"/>
      <c r="M313" s="10"/>
      <c r="N313" s="10"/>
      <c r="O313" s="10"/>
      <c r="P313" s="10"/>
      <c r="Q313" s="10"/>
      <c r="R313" s="9"/>
      <c r="S313" s="9"/>
    </row>
    <row r="314" spans="2:19" x14ac:dyDescent="0.2">
      <c r="B314" s="9"/>
      <c r="C314" s="10"/>
      <c r="D314" s="10"/>
      <c r="E314" s="10"/>
      <c r="F314" s="9"/>
      <c r="G314" s="10"/>
      <c r="H314" s="10"/>
      <c r="I314" s="10"/>
      <c r="J314" s="10"/>
      <c r="K314" s="10"/>
      <c r="L314" s="10"/>
      <c r="M314" s="10"/>
      <c r="N314" s="10"/>
      <c r="O314" s="10"/>
      <c r="P314" s="10"/>
      <c r="Q314" s="10"/>
      <c r="R314" s="9"/>
      <c r="S314" s="9"/>
    </row>
    <row r="315" spans="2:19" x14ac:dyDescent="0.2">
      <c r="B315" s="9"/>
      <c r="C315" s="10"/>
      <c r="D315" s="10"/>
      <c r="E315" s="10"/>
      <c r="F315" s="9"/>
      <c r="G315" s="10"/>
      <c r="H315" s="10"/>
      <c r="I315" s="10"/>
      <c r="J315" s="10"/>
      <c r="K315" s="10"/>
      <c r="L315" s="10"/>
      <c r="M315" s="10"/>
      <c r="N315" s="10"/>
      <c r="O315" s="10"/>
      <c r="P315" s="10"/>
      <c r="Q315" s="10"/>
      <c r="R315" s="9"/>
      <c r="S315" s="9"/>
    </row>
    <row r="316" spans="2:19" x14ac:dyDescent="0.2">
      <c r="B316" s="9"/>
      <c r="C316" s="10"/>
      <c r="D316" s="10"/>
      <c r="E316" s="10"/>
      <c r="F316" s="9"/>
      <c r="G316" s="10"/>
      <c r="H316" s="10"/>
      <c r="I316" s="10"/>
      <c r="J316" s="10"/>
      <c r="K316" s="10"/>
      <c r="L316" s="10"/>
      <c r="M316" s="10"/>
      <c r="N316" s="10"/>
      <c r="O316" s="10"/>
      <c r="P316" s="10"/>
      <c r="Q316" s="10"/>
      <c r="R316" s="9"/>
      <c r="S316" s="9"/>
    </row>
    <row r="317" spans="2:19" x14ac:dyDescent="0.2">
      <c r="B317" s="9"/>
      <c r="C317" s="10"/>
      <c r="D317" s="10"/>
      <c r="E317" s="10"/>
      <c r="F317" s="9"/>
      <c r="G317" s="10"/>
      <c r="H317" s="10"/>
      <c r="I317" s="10"/>
      <c r="J317" s="10"/>
      <c r="K317" s="10"/>
      <c r="L317" s="10"/>
      <c r="M317" s="10"/>
      <c r="N317" s="10"/>
      <c r="O317" s="10"/>
      <c r="P317" s="10"/>
      <c r="Q317" s="10"/>
      <c r="R317" s="9"/>
      <c r="S317" s="9"/>
    </row>
    <row r="318" spans="2:19" x14ac:dyDescent="0.2">
      <c r="B318" s="9"/>
      <c r="C318" s="10"/>
      <c r="D318" s="10"/>
      <c r="E318" s="10"/>
      <c r="F318" s="9"/>
      <c r="G318" s="10"/>
      <c r="H318" s="10"/>
      <c r="I318" s="10"/>
      <c r="J318" s="10"/>
      <c r="K318" s="10"/>
      <c r="L318" s="10"/>
      <c r="M318" s="10"/>
      <c r="N318" s="10"/>
      <c r="O318" s="10"/>
      <c r="P318" s="10"/>
      <c r="Q318" s="10"/>
      <c r="R318" s="9"/>
      <c r="S318" s="9"/>
    </row>
    <row r="319" spans="2:19" x14ac:dyDescent="0.2">
      <c r="B319" s="9"/>
      <c r="C319" s="10"/>
      <c r="D319" s="10"/>
      <c r="E319" s="10"/>
      <c r="F319" s="9"/>
      <c r="G319" s="10"/>
      <c r="H319" s="10"/>
      <c r="I319" s="10"/>
      <c r="J319" s="10"/>
      <c r="K319" s="10"/>
      <c r="L319" s="10"/>
      <c r="M319" s="10"/>
      <c r="N319" s="10"/>
      <c r="O319" s="10"/>
      <c r="P319" s="10"/>
      <c r="Q319" s="10"/>
      <c r="R319" s="9"/>
      <c r="S319" s="9"/>
    </row>
    <row r="320" spans="2:19" ht="19.5" customHeight="1" x14ac:dyDescent="0.2">
      <c r="B320" s="10"/>
    </row>
  </sheetData>
  <sheetProtection algorithmName="SHA-512" hashValue="fnR/4dwpG2BnJTdCVYg0BFYE6yocYVjHi4ZEIlEGjVpxMFc1msSpFWqefYcUxfGndL8qIR61/9ipja86QqWDcQ==" saltValue="71hcj/o5P3jumZYjc7l2UQ==" spinCount="100000" sheet="1" objects="1" scenarios="1" insertRows="0" selectLockedCells="1" sort="0" autoFilter="0"/>
  <autoFilter ref="B2:Q117" xr:uid="{00000000-0001-0000-0000-000000000000}">
    <filterColumn colId="4">
      <filters>
        <filter val="Match"/>
      </filters>
    </filterColumn>
  </autoFilter>
  <hyperlinks>
    <hyperlink ref="K6" r:id="rId1" display="https://www.daera-ni.gov.uk/articles/environment-fund-water-quality-improvement-strand" xr:uid="{5341693B-2CCB-4554-B8DD-7D2EE12BB1E8}"/>
    <hyperlink ref="K7" r:id="rId2" display="https://promar-international.com/thames-valley-catchment-fund/" xr:uid="{5324151E-58B6-460B-9191-4D0C3F9015FE}"/>
    <hyperlink ref="K8" r:id="rId3" xr:uid="{5C949DB8-6633-4B5B-9B1C-61A2F575DD32}"/>
    <hyperlink ref="K13" r:id="rId4" xr:uid="{13ED1F93-E6AD-49AA-AD0F-20AC70B9BCA9}"/>
    <hyperlink ref="O14" r:id="rId5" xr:uid="{B620836B-7619-4C52-A54E-2C4992EE05F4}"/>
    <hyperlink ref="K14" r:id="rId6" display="https://www.bristolavoncatchment.co.uk/contact-us/" xr:uid="{654FB558-7034-46E7-BDC2-4A23C679CB62}"/>
    <hyperlink ref="K15" r:id="rId7" xr:uid="{23645664-8473-4CE8-96AB-9534CC5BC41D}"/>
    <hyperlink ref="K16" r:id="rId8" xr:uid="{148D6766-8F39-4B21-850E-2E2038722652}"/>
    <hyperlink ref="K17" r:id="rId9" xr:uid="{4CD76F6E-3B55-4D01-87FE-2A72442A1974}"/>
    <hyperlink ref="K22" r:id="rId10" xr:uid="{88451337-0062-445C-A230-FB3BD29B632F}"/>
    <hyperlink ref="K20" r:id="rId11" xr:uid="{7768D40A-A88D-4155-A571-2DDC8C716BDD}"/>
    <hyperlink ref="K43" r:id="rId12" xr:uid="{CE52F6D6-BD38-4804-8085-00CD5CB5B8D7}"/>
    <hyperlink ref="K42" r:id="rId13" xr:uid="{3918C656-5652-4425-B82E-35DD421EF910}"/>
    <hyperlink ref="K44" r:id="rId14" xr:uid="{E0BE3A7D-5E8A-41A2-A7B3-7C73067C30DF}"/>
    <hyperlink ref="K18" r:id="rId15" xr:uid="{98725979-1439-4798-8AD9-6C78A5B526E2}"/>
    <hyperlink ref="K3" r:id="rId16" xr:uid="{5046B306-9FC4-47CA-B736-7630B26555F0}"/>
    <hyperlink ref="K5" r:id="rId17" xr:uid="{F5C7D56F-9644-4DEA-A250-D66811735587}"/>
    <hyperlink ref="Q12" r:id="rId18" xr:uid="{D5DD25B8-C35E-4473-AA96-1A424D2B4E48}"/>
    <hyperlink ref="K25" r:id="rId19" display="enquiries@cambridgecvs.org.uk_x000a__x000a_" xr:uid="{0CE1680B-0971-4723-B5AC-2D7F19CDFAB8}"/>
    <hyperlink ref="J27" r:id="rId20" xr:uid="{1DCB4839-97B5-4343-B917-D112C25FDC3A}"/>
    <hyperlink ref="O42" r:id="rId21" xr:uid="{973BC57B-3956-4761-A953-38D7E8D9D82B}"/>
    <hyperlink ref="L45" r:id="rId22" xr:uid="{54F396A5-C608-4CEA-9436-D89F8C75362F}"/>
    <hyperlink ref="K58" r:id="rId23" xr:uid="{AE851B18-0735-48CF-A225-0638557D9D96}"/>
    <hyperlink ref="K61" r:id="rId24" xr:uid="{C8001D75-5A51-4E0F-901D-D522A8E2EAAB}"/>
    <hyperlink ref="J64" r:id="rId25" xr:uid="{20FC1294-4177-4076-B984-B50CD1F18C41}"/>
    <hyperlink ref="K67" r:id="rId26" xr:uid="{810A8EBA-946D-4FC5-8ABA-4DEEB0E4FCCA}"/>
    <hyperlink ref="K70" r:id="rId27" xr:uid="{FC156B51-BA3A-4DD5-A006-A450EDD370A6}"/>
    <hyperlink ref="K71" r:id="rId28" xr:uid="{1492D71C-06A9-46C9-9E29-0B214E3D6CC1}"/>
    <hyperlink ref="O73" r:id="rId29" xr:uid="{19D18E3E-527C-4E04-94F7-19DCF44D6DC7}"/>
    <hyperlink ref="K77" r:id="rId30" xr:uid="{7C4DE6DD-03AC-480D-A033-6D41971D4168}"/>
    <hyperlink ref="K89" r:id="rId31" xr:uid="{820BD064-C297-4D35-AB58-9B71AE61BF67}"/>
    <hyperlink ref="K114" r:id="rId32" xr:uid="{F0DA9328-9078-4938-877A-6340471E3358}"/>
    <hyperlink ref="K50" r:id="rId33" xr:uid="{D6383A78-33DA-4731-8BE0-D105C441BD17}"/>
    <hyperlink ref="K63" r:id="rId34" xr:uid="{FAFD4E17-C5F0-4B86-88B9-5BB5747CCBC0}"/>
    <hyperlink ref="J66" r:id="rId35" xr:uid="{C235B733-EC4E-41C0-B379-AFE08D8D0952}"/>
    <hyperlink ref="P3" r:id="rId36" xr:uid="{F0B9C570-F24C-4037-A8E9-4B0DB6C0057E}"/>
    <hyperlink ref="K11" r:id="rId37" xr:uid="{888155B0-BFE9-44EF-82C5-CAE1D3CD19A4}"/>
    <hyperlink ref="K12" r:id="rId38" xr:uid="{3CBA9F1D-0900-4AC6-9D9A-BD2682A8B94D}"/>
    <hyperlink ref="P14" r:id="rId39" xr:uid="{11A7104E-5672-4722-BE63-CEC2EDB2A0E2}"/>
    <hyperlink ref="P42" r:id="rId40" xr:uid="{0FF9D338-5350-43C7-B4B6-66A42A075082}"/>
    <hyperlink ref="P75" r:id="rId41" xr:uid="{9FC36903-1E7A-4CEE-9B1F-6093629B56BF}"/>
    <hyperlink ref="P81" r:id="rId42" xr:uid="{830B0770-B4C1-4521-A380-233016E9A806}"/>
    <hyperlink ref="P83" r:id="rId43" xr:uid="{F4E598B9-B548-400D-BB3C-F985DD7EDA45}"/>
    <hyperlink ref="O101" r:id="rId44" xr:uid="{4E778BA1-0590-4668-9351-BE39D8B24397}"/>
  </hyperlinks>
  <pageMargins left="0.7" right="0.7" top="0.75" bottom="0.75" header="0.3" footer="0.3"/>
  <pageSetup paperSize="9" orientation="portrait" horizontalDpi="300" r:id="rId4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F32F0-E08F-44AA-8D84-A96FBB4B5CC5}">
  <sheetPr codeName="Sheet3"/>
  <dimension ref="B2:D16"/>
  <sheetViews>
    <sheetView workbookViewId="0">
      <selection activeCell="G6" sqref="G6"/>
    </sheetView>
  </sheetViews>
  <sheetFormatPr baseColWidth="10" defaultColWidth="8.83203125" defaultRowHeight="15" x14ac:dyDescent="0.2"/>
  <cols>
    <col min="1" max="1" width="8.83203125" style="3"/>
    <col min="2" max="4" width="53.83203125" style="11" customWidth="1"/>
    <col min="5" max="11" width="8.83203125" style="3"/>
    <col min="12" max="12" width="52.5" style="3" customWidth="1"/>
    <col min="13" max="16384" width="8.83203125" style="3"/>
  </cols>
  <sheetData>
    <row r="2" spans="2:4" ht="16" x14ac:dyDescent="0.2">
      <c r="B2" s="12" t="s">
        <v>1088</v>
      </c>
      <c r="C2" s="12" t="s">
        <v>14</v>
      </c>
      <c r="D2" s="12" t="s">
        <v>1087</v>
      </c>
    </row>
    <row r="3" spans="2:4" ht="192" x14ac:dyDescent="0.2">
      <c r="B3" s="8" t="s">
        <v>1089</v>
      </c>
      <c r="C3" s="8" t="s">
        <v>1090</v>
      </c>
      <c r="D3" s="13" t="s">
        <v>1091</v>
      </c>
    </row>
    <row r="4" spans="2:4" ht="64" x14ac:dyDescent="0.2">
      <c r="B4" s="8" t="s">
        <v>1092</v>
      </c>
      <c r="C4" s="8" t="s">
        <v>1093</v>
      </c>
      <c r="D4" s="8" t="s">
        <v>1094</v>
      </c>
    </row>
    <row r="5" spans="2:4" ht="32" x14ac:dyDescent="0.2">
      <c r="B5" s="8" t="s">
        <v>1095</v>
      </c>
      <c r="C5" s="8" t="s">
        <v>1096</v>
      </c>
      <c r="D5" s="8" t="s">
        <v>1018</v>
      </c>
    </row>
    <row r="6" spans="2:4" ht="80" x14ac:dyDescent="0.2">
      <c r="B6" s="8" t="s">
        <v>1097</v>
      </c>
      <c r="C6" s="8" t="s">
        <v>1098</v>
      </c>
      <c r="D6" s="8" t="s">
        <v>1099</v>
      </c>
    </row>
    <row r="7" spans="2:4" ht="32" x14ac:dyDescent="0.2">
      <c r="B7" s="8" t="s">
        <v>1100</v>
      </c>
      <c r="C7" s="8" t="s">
        <v>1101</v>
      </c>
      <c r="D7" s="8" t="s">
        <v>1102</v>
      </c>
    </row>
    <row r="8" spans="2:4" ht="48" x14ac:dyDescent="0.2">
      <c r="B8" s="8" t="s">
        <v>1103</v>
      </c>
      <c r="C8" s="8" t="s">
        <v>1104</v>
      </c>
      <c r="D8" s="8" t="s">
        <v>1105</v>
      </c>
    </row>
    <row r="9" spans="2:4" ht="32" x14ac:dyDescent="0.2">
      <c r="B9" s="8" t="s">
        <v>1106</v>
      </c>
      <c r="C9" s="8" t="s">
        <v>1107</v>
      </c>
      <c r="D9" s="8" t="s">
        <v>1108</v>
      </c>
    </row>
    <row r="10" spans="2:4" ht="32" x14ac:dyDescent="0.2">
      <c r="B10" s="8" t="s">
        <v>1109</v>
      </c>
      <c r="C10" s="8" t="s">
        <v>1110</v>
      </c>
      <c r="D10" s="8" t="s">
        <v>1111</v>
      </c>
    </row>
    <row r="11" spans="2:4" ht="48" x14ac:dyDescent="0.2">
      <c r="B11" s="8" t="s">
        <v>1112</v>
      </c>
      <c r="C11" s="8" t="s">
        <v>1113</v>
      </c>
      <c r="D11" s="8" t="s">
        <v>1114</v>
      </c>
    </row>
    <row r="12" spans="2:4" ht="32" x14ac:dyDescent="0.2">
      <c r="B12" s="8" t="s">
        <v>1115</v>
      </c>
      <c r="C12" s="8" t="s">
        <v>1116</v>
      </c>
      <c r="D12" s="8" t="s">
        <v>1117</v>
      </c>
    </row>
    <row r="13" spans="2:4" ht="32" x14ac:dyDescent="0.2">
      <c r="B13" s="8" t="s">
        <v>1118</v>
      </c>
      <c r="C13" s="8" t="s">
        <v>1119</v>
      </c>
      <c r="D13" s="13" t="s">
        <v>1120</v>
      </c>
    </row>
    <row r="14" spans="2:4" ht="32" x14ac:dyDescent="0.2">
      <c r="B14" s="8" t="s">
        <v>1121</v>
      </c>
      <c r="C14" s="8" t="s">
        <v>1122</v>
      </c>
      <c r="D14" s="8" t="s">
        <v>1123</v>
      </c>
    </row>
    <row r="15" spans="2:4" ht="48" x14ac:dyDescent="0.2">
      <c r="B15" s="8" t="s">
        <v>1124</v>
      </c>
      <c r="C15" s="8" t="s">
        <v>1125</v>
      </c>
      <c r="D15" s="8" t="s">
        <v>1126</v>
      </c>
    </row>
    <row r="16" spans="2:4" ht="14" customHeight="1" x14ac:dyDescent="0.2"/>
  </sheetData>
  <hyperlinks>
    <hyperlink ref="D3" r:id="rId1" display="https://ec.europa.eu/info/funding-tenders/opportunities/portal/screen/opportunities/calls-for-proposals?freeTextSearchKeyword=&amp;matchWholeText=true&amp;programmePeriod=2021%20-%202027&amp;destination=null&amp;mission=null&amp;programmeDivisionProspect=null&amp;cpvCode=null&amp;performanceOfDelivery=null&amp;sortQuery=sortStatus&amp;orderBy=asc&amp;onlyTenders=false&amp;topicListKey=topicSearchTablePageState&amp;type=1,0&amp;callIdentifier=null&amp;status=31094501,31094502,31094503&amp;frameworkProgramme=43252405&amp;programmeDivision=null&amp;focusArea=null&amp;geographicalZones=null&amp;crossCuttingPriorities=null&amp;isExactMatch=true&amp;order=DESC&amp;pageNumber=1&amp;pageSize=50&amp;sortBy=startDate" xr:uid="{BD9F2EDE-274C-40E4-8B14-151F777B58BA}"/>
    <hyperlink ref="D13" r:id="rId2" xr:uid="{38356E26-1496-440A-A4CB-5CD7BB320D8D}"/>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67093A-207C-433E-A707-C1DBEE60DBB0}">
  <sheetPr codeName="Sheet4"/>
  <dimension ref="B2:B4"/>
  <sheetViews>
    <sheetView workbookViewId="0">
      <selection activeCell="B4" sqref="B4"/>
    </sheetView>
  </sheetViews>
  <sheetFormatPr baseColWidth="10" defaultColWidth="8.83203125" defaultRowHeight="15" x14ac:dyDescent="0.2"/>
  <cols>
    <col min="1" max="1" width="8.83203125" style="3"/>
    <col min="2" max="2" width="64.83203125" style="3" customWidth="1"/>
    <col min="3" max="16384" width="8.83203125" style="3"/>
  </cols>
  <sheetData>
    <row r="2" spans="2:2" x14ac:dyDescent="0.2">
      <c r="B2" s="14" t="s">
        <v>1128</v>
      </c>
    </row>
    <row r="3" spans="2:2" x14ac:dyDescent="0.2">
      <c r="B3" s="14"/>
    </row>
    <row r="4" spans="2:2" ht="113" customHeight="1" x14ac:dyDescent="0.2">
      <c r="B4" s="15" t="s">
        <v>1129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B5D2A3C08138C4D87A8AE2ADAED76A1" ma:contentTypeVersion="17" ma:contentTypeDescription="Create a new document." ma:contentTypeScope="" ma:versionID="eafdc42093e05aa7483ca3e4b9668960">
  <xsd:schema xmlns:xsd="http://www.w3.org/2001/XMLSchema" xmlns:xs="http://www.w3.org/2001/XMLSchema" xmlns:p="http://schemas.microsoft.com/office/2006/metadata/properties" xmlns:ns1="http://schemas.microsoft.com/sharepoint/v3" xmlns:ns2="114c8694-d10a-4963-9a00-08009220241a" xmlns:ns3="ec74b5a0-e52c-4baf-916b-7ce3b0ef7994" targetNamespace="http://schemas.microsoft.com/office/2006/metadata/properties" ma:root="true" ma:fieldsID="03cf55d3d2523f0ab743b58b5035082d" ns1:_="" ns2:_="" ns3:_="">
    <xsd:import namespace="http://schemas.microsoft.com/sharepoint/v3"/>
    <xsd:import namespace="114c8694-d10a-4963-9a00-08009220241a"/>
    <xsd:import namespace="ec74b5a0-e52c-4baf-916b-7ce3b0ef799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element ref="ns2:Comments" minOccurs="0"/>
                <xsd:element ref="ns2:MediaServiceLocation" minOccurs="0"/>
                <xsd:element ref="ns2:MediaServiceBillingMetadata"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3" nillable="true" ma:displayName="Unified Compliance Policy Properties" ma:hidden="true" ma:internalName="_ip_UnifiedCompliancePolicyProperties">
      <xsd:simpleType>
        <xsd:restriction base="dms:Note"/>
      </xsd:simpleType>
    </xsd:element>
    <xsd:element name="_ip_UnifiedCompliancePolicyUIAction" ma:index="24"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14c8694-d10a-4963-9a00-08009220241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3bffd374-f6e7-466c-9533-0f5f1a899a5e"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Comments" ma:index="20" nillable="true" ma:displayName="Comments" ma:format="Dropdown" ma:internalName="Comments">
      <xsd:simpleType>
        <xsd:restriction base="dms:Text">
          <xsd:maxLength value="255"/>
        </xsd:restriction>
      </xsd:simpleType>
    </xsd:element>
    <xsd:element name="MediaServiceLocation" ma:index="21" nillable="true" ma:displayName="Location" ma:indexed="true" ma:internalName="MediaServiceLocation" ma:readOnly="true">
      <xsd:simpleType>
        <xsd:restriction base="dms:Text"/>
      </xsd:simpleType>
    </xsd:element>
    <xsd:element name="MediaServiceBillingMetadata" ma:index="22"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c74b5a0-e52c-4baf-916b-7ce3b0ef7994"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bcb8ac00-9a06-4bf6-b42d-f7907eeb063a}" ma:internalName="TaxCatchAll" ma:showField="CatchAllData" ma:web="ec74b5a0-e52c-4baf-916b-7ce3b0ef799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114c8694-d10a-4963-9a00-08009220241a">
      <Terms xmlns="http://schemas.microsoft.com/office/infopath/2007/PartnerControls"/>
    </lcf76f155ced4ddcb4097134ff3c332f>
    <TaxCatchAll xmlns="ec74b5a0-e52c-4baf-916b-7ce3b0ef7994" xsi:nil="true"/>
    <_ip_UnifiedCompliancePolicyProperties xmlns="http://schemas.microsoft.com/sharepoint/v3" xsi:nil="true"/>
    <Comments xmlns="114c8694-d10a-4963-9a00-08009220241a" xsi:nil="true"/>
  </documentManagement>
</p:properties>
</file>

<file path=customXml/itemProps1.xml><?xml version="1.0" encoding="utf-8"?>
<ds:datastoreItem xmlns:ds="http://schemas.openxmlformats.org/officeDocument/2006/customXml" ds:itemID="{338B5E49-C905-464A-A96E-AB5F7B744D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114c8694-d10a-4963-9a00-08009220241a"/>
    <ds:schemaRef ds:uri="ec74b5a0-e52c-4baf-916b-7ce3b0ef799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B05F59C-AEC2-49BE-951A-AC16183DD336}">
  <ds:schemaRefs>
    <ds:schemaRef ds:uri="http://schemas.microsoft.com/sharepoint/v3/contenttype/forms"/>
  </ds:schemaRefs>
</ds:datastoreItem>
</file>

<file path=customXml/itemProps3.xml><?xml version="1.0" encoding="utf-8"?>
<ds:datastoreItem xmlns:ds="http://schemas.openxmlformats.org/officeDocument/2006/customXml" ds:itemID="{BD40DCFE-EF62-4B17-8CEF-0591B74DE398}">
  <ds:schemaRefs>
    <ds:schemaRef ds:uri="http://schemas.microsoft.com/office/infopath/2007/PartnerControls"/>
    <ds:schemaRef ds:uri="http://www.w3.org/XML/1998/namespace"/>
    <ds:schemaRef ds:uri="ec74b5a0-e52c-4baf-916b-7ce3b0ef7994"/>
    <ds:schemaRef ds:uri="http://purl.org/dc/terms/"/>
    <ds:schemaRef ds:uri="http://schemas.microsoft.com/office/2006/documentManagement/types"/>
    <ds:schemaRef ds:uri="http://schemas.openxmlformats.org/package/2006/metadata/core-properties"/>
    <ds:schemaRef ds:uri="http://purl.org/dc/dcmitype/"/>
    <ds:schemaRef ds:uri="114c8694-d10a-4963-9a00-08009220241a"/>
    <ds:schemaRef ds:uri="http://schemas.microsoft.com/sharepoint/v3"/>
    <ds:schemaRef ds:uri="http://schemas.microsoft.com/office/2006/metadata/properties"/>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Stakeholder filter</vt:lpstr>
      <vt:lpstr>Funding Database</vt:lpstr>
      <vt:lpstr>Other resources </vt:lpstr>
      <vt:lpstr>Disclaimer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Giles Exley</dc:creator>
  <cp:keywords/>
  <dc:description/>
  <cp:lastModifiedBy>Bilal, Maryam (Cognizant)</cp:lastModifiedBy>
  <cp:revision/>
  <dcterms:created xsi:type="dcterms:W3CDTF">2024-09-16T09:46:47Z</dcterms:created>
  <dcterms:modified xsi:type="dcterms:W3CDTF">2026-03-26T11:28:03Z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0x010100BB5D2A3C08138C4D87A8AE2ADAED76A1</vt:lpwstr>
  </property>
  <property fmtid="{D5CDD505-2E9C-101B-9397-08002B2CF9AE}" pid="3" name="MediaServiceImageTags">
    <vt:lpwstr/>
  </property>
</Properties>
</file>